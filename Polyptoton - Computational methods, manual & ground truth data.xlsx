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l_m_knijn_uva_nl/Documents/01 PhD research/01 Data/Datasets per onderwerp/Jeweled Style/Polyptoton/Polyptoton large spaCy model/"/>
    </mc:Choice>
  </mc:AlternateContent>
  <xr:revisionPtr revIDLastSave="1718" documentId="8_{BD4E1F17-A85A-41A2-8856-73D3803D2B37}" xr6:coauthVersionLast="47" xr6:coauthVersionMax="47" xr10:uidLastSave="{BA3FD30F-F213-4CEE-96C8-16379CC6265A}"/>
  <bookViews>
    <workbookView xWindow="-110" yWindow="-110" windowWidth="19420" windowHeight="10300" xr2:uid="{83FA280F-D72B-4BAE-A1CA-CBA29BFC5A37}"/>
  </bookViews>
  <sheets>
    <sheet name="4-token windows" sheetId="1" r:id="rId1"/>
    <sheet name="5-token windows" sheetId="2" r:id="rId2"/>
    <sheet name="6-token windows" sheetId="3" r:id="rId3"/>
    <sheet name="Il. sample" sheetId="5" r:id="rId4"/>
    <sheet name="Argon. sample" sheetId="6" r:id="rId5"/>
    <sheet name="PH sample" sheetId="7" r:id="rId6"/>
    <sheet name="Dion. sample" sheetId="8" r:id="rId7"/>
    <sheet name="ground truth data" sheetId="9" r:id="rId8"/>
    <sheet name="Manual rejected on 2nd look" sheetId="4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9" l="1"/>
  <c r="F53" i="9"/>
  <c r="I39" i="8" l="1"/>
  <c r="H50" i="9" l="1"/>
  <c r="H49" i="9"/>
  <c r="H48" i="9"/>
  <c r="H47" i="9"/>
  <c r="H46" i="9"/>
  <c r="H45" i="9"/>
  <c r="G50" i="9"/>
  <c r="G49" i="9"/>
  <c r="G48" i="9"/>
  <c r="G47" i="9"/>
  <c r="F52" i="9"/>
  <c r="G46" i="9"/>
  <c r="G45" i="9"/>
  <c r="F46" i="9"/>
  <c r="F45" i="9"/>
  <c r="B42" i="9"/>
  <c r="I42" i="8"/>
  <c r="I41" i="8"/>
  <c r="I40" i="8"/>
  <c r="I38" i="8"/>
  <c r="I37" i="8"/>
  <c r="I50" i="8" s="1"/>
  <c r="H42" i="8"/>
  <c r="H41" i="8"/>
  <c r="H40" i="8"/>
  <c r="H39" i="8"/>
  <c r="H38" i="8"/>
  <c r="H37" i="8"/>
  <c r="H50" i="8" s="1"/>
  <c r="G42" i="8"/>
  <c r="G41" i="8"/>
  <c r="G40" i="8"/>
  <c r="G39" i="8"/>
  <c r="G38" i="8"/>
  <c r="G37" i="8"/>
  <c r="G50" i="8" s="1"/>
  <c r="H49" i="7"/>
  <c r="G35" i="6"/>
  <c r="H35" i="6"/>
  <c r="G50" i="5"/>
  <c r="I41" i="7"/>
  <c r="I40" i="7"/>
  <c r="I39" i="7"/>
  <c r="I38" i="7"/>
  <c r="I46" i="7" s="1"/>
  <c r="I37" i="7"/>
  <c r="I36" i="7"/>
  <c r="I49" i="7" s="1"/>
  <c r="H41" i="7"/>
  <c r="H40" i="7"/>
  <c r="H39" i="7"/>
  <c r="H38" i="7"/>
  <c r="H37" i="7"/>
  <c r="H36" i="7"/>
  <c r="G41" i="7"/>
  <c r="G40" i="7"/>
  <c r="G39" i="7"/>
  <c r="G38" i="7"/>
  <c r="G37" i="7"/>
  <c r="G36" i="7"/>
  <c r="G49" i="7" s="1"/>
  <c r="I22" i="6"/>
  <c r="I35" i="6" s="1"/>
  <c r="H27" i="6"/>
  <c r="B34" i="8"/>
  <c r="B33" i="7"/>
  <c r="H26" i="6"/>
  <c r="H23" i="6"/>
  <c r="I27" i="6"/>
  <c r="I26" i="6"/>
  <c r="I25" i="6"/>
  <c r="I24" i="6"/>
  <c r="I23" i="6"/>
  <c r="H25" i="6"/>
  <c r="H24" i="6"/>
  <c r="H22" i="6"/>
  <c r="G27" i="6"/>
  <c r="G26" i="6"/>
  <c r="G25" i="6"/>
  <c r="G24" i="6"/>
  <c r="G23" i="6"/>
  <c r="G22" i="6"/>
  <c r="B19" i="6"/>
  <c r="I42" i="5"/>
  <c r="I41" i="5"/>
  <c r="I40" i="5"/>
  <c r="I39" i="5"/>
  <c r="I47" i="5" s="1"/>
  <c r="I38" i="5"/>
  <c r="I37" i="5"/>
  <c r="I50" i="5" s="1"/>
  <c r="H42" i="5"/>
  <c r="H41" i="5"/>
  <c r="H40" i="5"/>
  <c r="H39" i="5"/>
  <c r="H38" i="5"/>
  <c r="H37" i="5"/>
  <c r="G42" i="5"/>
  <c r="G41" i="5"/>
  <c r="G40" i="5"/>
  <c r="G39" i="5"/>
  <c r="G38" i="5"/>
  <c r="G37" i="5"/>
  <c r="B34" i="5"/>
  <c r="H50" i="3"/>
  <c r="H49" i="3"/>
  <c r="H48" i="3"/>
  <c r="H47" i="3"/>
  <c r="H46" i="3"/>
  <c r="H45" i="3"/>
  <c r="G50" i="3"/>
  <c r="G49" i="3"/>
  <c r="G48" i="3"/>
  <c r="G47" i="3"/>
  <c r="G46" i="3"/>
  <c r="G45" i="3"/>
  <c r="B42" i="3"/>
  <c r="H48" i="2"/>
  <c r="H49" i="2"/>
  <c r="H47" i="2"/>
  <c r="H46" i="2"/>
  <c r="H45" i="2"/>
  <c r="H44" i="2"/>
  <c r="G49" i="2"/>
  <c r="G48" i="2"/>
  <c r="G47" i="2"/>
  <c r="G46" i="2"/>
  <c r="G45" i="2"/>
  <c r="G44" i="2"/>
  <c r="B41" i="2"/>
  <c r="G47" i="7" l="1"/>
  <c r="H46" i="7"/>
  <c r="G46" i="7"/>
  <c r="I33" i="6"/>
  <c r="G58" i="3"/>
  <c r="H44" i="5"/>
  <c r="I45" i="5"/>
  <c r="I48" i="5"/>
  <c r="G47" i="5"/>
  <c r="I44" i="5"/>
  <c r="H47" i="5"/>
  <c r="H50" i="5"/>
  <c r="G54" i="2"/>
  <c r="G55" i="3"/>
  <c r="H47" i="8"/>
  <c r="I47" i="8"/>
  <c r="H55" i="9"/>
  <c r="G55" i="9"/>
  <c r="H56" i="9"/>
  <c r="G52" i="9"/>
  <c r="G56" i="9"/>
  <c r="H52" i="9"/>
  <c r="H58" i="9"/>
  <c r="G53" i="9"/>
  <c r="H53" i="9"/>
  <c r="I45" i="8"/>
  <c r="I48" i="8"/>
  <c r="H45" i="8"/>
  <c r="H48" i="8"/>
  <c r="G47" i="8"/>
  <c r="G48" i="8"/>
  <c r="G45" i="8"/>
  <c r="I44" i="7"/>
  <c r="I47" i="7"/>
  <c r="H47" i="7"/>
  <c r="H43" i="7"/>
  <c r="G43" i="7"/>
  <c r="G44" i="8"/>
  <c r="H44" i="8"/>
  <c r="I44" i="8"/>
  <c r="I43" i="7"/>
  <c r="G44" i="7"/>
  <c r="H44" i="7"/>
  <c r="I30" i="6"/>
  <c r="H30" i="6"/>
  <c r="H32" i="6"/>
  <c r="H33" i="6"/>
  <c r="G32" i="6"/>
  <c r="G30" i="6"/>
  <c r="G33" i="6"/>
  <c r="I32" i="6"/>
  <c r="G29" i="6"/>
  <c r="H29" i="6"/>
  <c r="I29" i="6"/>
  <c r="H45" i="5"/>
  <c r="G44" i="5"/>
  <c r="G48" i="5"/>
  <c r="G45" i="5"/>
  <c r="H48" i="5"/>
  <c r="H58" i="3"/>
  <c r="G57" i="2"/>
  <c r="H55" i="3"/>
  <c r="G56" i="3"/>
  <c r="G53" i="3"/>
  <c r="H53" i="3"/>
  <c r="H56" i="3"/>
  <c r="G52" i="3"/>
  <c r="H52" i="3"/>
  <c r="G55" i="2"/>
  <c r="H51" i="2"/>
  <c r="H54" i="2"/>
  <c r="H55" i="2"/>
  <c r="H57" i="2"/>
  <c r="G52" i="2"/>
  <c r="H52" i="2"/>
  <c r="G51" i="2"/>
  <c r="B33" i="1"/>
  <c r="H41" i="1"/>
  <c r="H40" i="1"/>
  <c r="H39" i="1"/>
  <c r="H38" i="1"/>
  <c r="H37" i="1"/>
  <c r="H36" i="1"/>
  <c r="G41" i="1"/>
  <c r="G40" i="1"/>
  <c r="G39" i="1"/>
  <c r="G38" i="1"/>
  <c r="G37" i="1"/>
  <c r="G36" i="1"/>
  <c r="G49" i="1" s="1"/>
  <c r="H43" i="1" l="1"/>
  <c r="H49" i="1"/>
  <c r="H47" i="1"/>
  <c r="G47" i="1"/>
  <c r="H46" i="1"/>
  <c r="H44" i="1"/>
  <c r="G46" i="1"/>
  <c r="G43" i="1"/>
  <c r="G44" i="1"/>
</calcChain>
</file>

<file path=xl/sharedStrings.xml><?xml version="1.0" encoding="utf-8"?>
<sst xmlns="http://schemas.openxmlformats.org/spreadsheetml/2006/main" count="2896" uniqueCount="232">
  <si>
    <t>text</t>
  </si>
  <si>
    <t>window</t>
  </si>
  <si>
    <t>_id</t>
  </si>
  <si>
    <t>book</t>
  </si>
  <si>
    <t>line</t>
  </si>
  <si>
    <t>manual T/F</t>
  </si>
  <si>
    <t>manual pos/neg</t>
  </si>
  <si>
    <t>4-windows T/F</t>
  </si>
  <si>
    <t>4-windows pos/neg</t>
  </si>
  <si>
    <t>rep_lemma</t>
  </si>
  <si>
    <t>rep_pos</t>
  </si>
  <si>
    <t>reason</t>
  </si>
  <si>
    <t>Iliad</t>
  </si>
  <si>
    <t>24_052</t>
  </si>
  <si>
    <t>k</t>
  </si>
  <si>
    <t>ἀγαθός</t>
  </si>
  <si>
    <t>ADJ</t>
  </si>
  <si>
    <t>24_154</t>
  </si>
  <si>
    <t>b</t>
  </si>
  <si>
    <t>ἄγω</t>
  </si>
  <si>
    <t>VERB</t>
  </si>
  <si>
    <t>24_183</t>
  </si>
  <si>
    <t>c</t>
  </si>
  <si>
    <t>TRUE POS</t>
  </si>
  <si>
    <t>24_057</t>
  </si>
  <si>
    <t>FALSE NEG</t>
  </si>
  <si>
    <t>Argonautica</t>
  </si>
  <si>
    <t>e</t>
  </si>
  <si>
    <t>01_297</t>
  </si>
  <si>
    <t>f</t>
  </si>
  <si>
    <t>d</t>
  </si>
  <si>
    <t>NOUN</t>
  </si>
  <si>
    <t>ἄλγος</t>
  </si>
  <si>
    <t>Posthomerica</t>
  </si>
  <si>
    <t>10_022</t>
  </si>
  <si>
    <t>22</t>
  </si>
  <si>
    <t>10_073</t>
  </si>
  <si>
    <t>g</t>
  </si>
  <si>
    <t>73</t>
  </si>
  <si>
    <t>10_339</t>
  </si>
  <si>
    <t>339</t>
  </si>
  <si>
    <t>10_373</t>
  </si>
  <si>
    <t>i</t>
  </si>
  <si>
    <t>373</t>
  </si>
  <si>
    <t>10_379</t>
  </si>
  <si>
    <t>ab</t>
  </si>
  <si>
    <t>379a</t>
  </si>
  <si>
    <t>πολύς</t>
  </si>
  <si>
    <t>ἄλλος</t>
  </si>
  <si>
    <t>πένθος</t>
  </si>
  <si>
    <t>πῆμα</t>
  </si>
  <si>
    <t>Sack of Troy</t>
  </si>
  <si>
    <t>00_660</t>
  </si>
  <si>
    <t>γαῖα</t>
  </si>
  <si>
    <t>Dionysiaca</t>
  </si>
  <si>
    <t>40_026</t>
  </si>
  <si>
    <t>5-windows T/F</t>
  </si>
  <si>
    <t>5-windows pos/neg</t>
  </si>
  <si>
    <t>j</t>
  </si>
  <si>
    <t>a</t>
  </si>
  <si>
    <t>24_230</t>
  </si>
  <si>
    <t>24_258</t>
  </si>
  <si>
    <t>h</t>
  </si>
  <si>
    <t>24_510</t>
  </si>
  <si>
    <t>24_688</t>
  </si>
  <si>
    <t>24_772</t>
  </si>
  <si>
    <t>τόσος</t>
  </si>
  <si>
    <t>ἀνήρ</t>
  </si>
  <si>
    <t>ἀχιλλεύς</t>
  </si>
  <si>
    <t>γιγνώσκω</t>
  </si>
  <si>
    <t>σός</t>
  </si>
  <si>
    <t>01_041</t>
  </si>
  <si>
    <t>λαπίθαι</t>
  </si>
  <si>
    <t>aa</t>
  </si>
  <si>
    <t>40_398</t>
  </si>
  <si>
    <t>πῦρ</t>
  </si>
  <si>
    <t>6-windows T/F</t>
  </si>
  <si>
    <t>6-windows pos/neg</t>
  </si>
  <si>
    <t>24_231</t>
  </si>
  <si>
    <t>24_359</t>
  </si>
  <si>
    <t>24_483</t>
  </si>
  <si>
    <t>ἵστημι</t>
  </si>
  <si>
    <t>θαμβέω</t>
  </si>
  <si>
    <t>01_583</t>
  </si>
  <si>
    <t>φαίνω</t>
  </si>
  <si>
    <t>10_479</t>
  </si>
  <si>
    <t>479</t>
  </si>
  <si>
    <t>40_039</t>
  </si>
  <si>
    <t>40_343</t>
  </si>
  <si>
    <t>βάλλω</t>
  </si>
  <si>
    <t>ἀήτης</t>
  </si>
  <si>
    <t>41_229</t>
  </si>
  <si>
    <t>κόρη</t>
  </si>
  <si>
    <t xml:space="preserve">TRUE </t>
  </si>
  <si>
    <t>πολέεσσι</t>
  </si>
  <si>
    <t>TRUE NEG</t>
  </si>
  <si>
    <t>FALSE POS</t>
  </si>
  <si>
    <t>πολλὸν</t>
  </si>
  <si>
    <t>token 1</t>
  </si>
  <si>
    <t>token 2</t>
  </si>
  <si>
    <t>ἄμεινον</t>
  </si>
  <si>
    <t>ἀγαθῷ</t>
  </si>
  <si>
    <t>ἄξει</t>
  </si>
  <si>
    <t>ἄγων</t>
  </si>
  <si>
    <t>ἄλγεσιν</t>
  </si>
  <si>
    <t>ἄλλῳ</t>
  </si>
  <si>
    <t>ἄλλη</t>
  </si>
  <si>
    <t>ἄλλης</t>
  </si>
  <si>
    <t>πένθεϊ</t>
  </si>
  <si>
    <t>πήματι</t>
  </si>
  <si>
    <t>11_120</t>
  </si>
  <si>
    <t>120</t>
  </si>
  <si>
    <t>ἄλλον</t>
  </si>
  <si>
    <t>11_121</t>
  </si>
  <si>
    <t>γαίης</t>
  </si>
  <si>
    <t>πολλαὶ</t>
  </si>
  <si>
    <t>πολὺ</t>
  </si>
  <si>
    <t>κοῦραι</t>
  </si>
  <si>
    <t>κούρης</t>
  </si>
  <si>
    <t>Ἕκτορι</t>
  </si>
  <si>
    <t>Ἕκτωρ</t>
  </si>
  <si>
    <t>PROPN</t>
  </si>
  <si>
    <t>24_367</t>
  </si>
  <si>
    <t>εἴη</t>
  </si>
  <si>
    <t>ἐσσί</t>
  </si>
  <si>
    <t>εἰμί</t>
  </si>
  <si>
    <t>24_397</t>
  </si>
  <si>
    <t>ἐστι</t>
  </si>
  <si>
    <t>ἐστί</t>
  </si>
  <si>
    <t>24_399</t>
  </si>
  <si>
    <t>ἔασιν</t>
  </si>
  <si>
    <t>εἰμι</t>
  </si>
  <si>
    <t>θάμβησεν</t>
  </si>
  <si>
    <t>θάμβησαν</t>
  </si>
  <si>
    <t>γνώῃ</t>
  </si>
  <si>
    <t>γνώωσι</t>
  </si>
  <si>
    <t>Λαπιθάων</t>
  </si>
  <si>
    <t>Λαπίθαι</t>
  </si>
  <si>
    <t>01_135</t>
  </si>
  <si>
    <t>Λέρνου</t>
  </si>
  <si>
    <t>Λέρνον</t>
  </si>
  <si>
    <t>Λέρνος</t>
  </si>
  <si>
    <t>01_336</t>
  </si>
  <si>
    <t>ξυνὸς</t>
  </si>
  <si>
    <t>ξυναὶ</t>
  </si>
  <si>
    <t>ξυνός</t>
  </si>
  <si>
    <t>φαίνετο</t>
  </si>
  <si>
    <t>φαίνοντο</t>
  </si>
  <si>
    <t>ἐθάμβεον</t>
  </si>
  <si>
    <t>11_026</t>
  </si>
  <si>
    <t>ὠδίνεσσιν</t>
  </si>
  <si>
    <t>ὠδῖνες</t>
  </si>
  <si>
    <t>ὠδίς</t>
  </si>
  <si>
    <t>11_226</t>
  </si>
  <si>
    <t>40_198</t>
  </si>
  <si>
    <t>40_201</t>
  </si>
  <si>
    <t>Δηριαδῆα</t>
  </si>
  <si>
    <t>Δηριάδης</t>
  </si>
  <si>
    <t>ὀλέσῃ</t>
  </si>
  <si>
    <t>ὀλλυμένῳ</t>
  </si>
  <si>
    <t>ὄλλυμι</t>
  </si>
  <si>
    <t>40_274</t>
  </si>
  <si>
    <t>40_450</t>
  </si>
  <si>
    <t>40_553</t>
  </si>
  <si>
    <t>41_270</t>
  </si>
  <si>
    <t>Διονύσῳ</t>
  </si>
  <si>
    <t>Διόνυσος</t>
  </si>
  <si>
    <t>ἄκρον</t>
  </si>
  <si>
    <t>ἄκρου</t>
  </si>
  <si>
    <t>φέρειν</t>
  </si>
  <si>
    <t>φέρουσα</t>
  </si>
  <si>
    <t>φέρω</t>
  </si>
  <si>
    <t>Θήβης</t>
  </si>
  <si>
    <t>Θήβη</t>
  </si>
  <si>
    <t>11_275</t>
  </si>
  <si>
    <t>275</t>
  </si>
  <si>
    <t>ἀνδράσι</t>
  </si>
  <si>
    <t>ἀνδράσιν</t>
  </si>
  <si>
    <t>θήβη</t>
  </si>
  <si>
    <t>τόσσους</t>
  </si>
  <si>
    <t>τόσσα</t>
  </si>
  <si>
    <t>ἀνδρός</t>
  </si>
  <si>
    <t>Ἀχιλῆος</t>
  </si>
  <si>
    <t>Ἀχιλλεὺς</t>
  </si>
  <si>
    <t>σῇ</t>
  </si>
  <si>
    <t>σοῖς</t>
  </si>
  <si>
    <t>πυρὶ</t>
  </si>
  <si>
    <t>πυρὸς</t>
  </si>
  <si>
    <t>τόσους</t>
  </si>
  <si>
    <t>ἔσταν</t>
  </si>
  <si>
    <t>στῆ</t>
  </si>
  <si>
    <t>βαλεῖν</t>
  </si>
  <si>
    <t>ἀήτην</t>
  </si>
  <si>
    <t>121</t>
  </si>
  <si>
    <t>11_227</t>
  </si>
  <si>
    <t>227</t>
  </si>
  <si>
    <t>41_034</t>
  </si>
  <si>
    <t>τράπεζα</t>
  </si>
  <si>
    <t>τραπέζης</t>
  </si>
  <si>
    <t>τραπέζῃ</t>
  </si>
  <si>
    <t>manual</t>
  </si>
  <si>
    <t>computational</t>
  </si>
  <si>
    <t>Total true/false</t>
  </si>
  <si>
    <t>Total pos/neg</t>
  </si>
  <si>
    <t>Recall</t>
  </si>
  <si>
    <t>Precision</t>
  </si>
  <si>
    <t>% of lines with polyptoton</t>
  </si>
  <si>
    <t>Of this method's positives, how many are true pos?</t>
  </si>
  <si>
    <t>Total n lines:</t>
  </si>
  <si>
    <t>Il.</t>
  </si>
  <si>
    <t>Argon.</t>
  </si>
  <si>
    <t>PH</t>
  </si>
  <si>
    <t>Triph.</t>
  </si>
  <si>
    <t>Dion.</t>
  </si>
  <si>
    <t>According to this method (TRUE)</t>
  </si>
  <si>
    <t>How many 'real' polyptota did this method catch?</t>
  </si>
  <si>
    <t>method</t>
  </si>
  <si>
    <t>4-token windows</t>
  </si>
  <si>
    <t>5-token windows</t>
  </si>
  <si>
    <t>6-token windows</t>
  </si>
  <si>
    <t>ground truth data</t>
  </si>
  <si>
    <t>How many 'real' polyptotA did this method catch?</t>
  </si>
  <si>
    <t>computational (6-token windows)</t>
  </si>
  <si>
    <t>sound too different</t>
  </si>
  <si>
    <t>sound too similar: repetition</t>
  </si>
  <si>
    <t>Triph. excl. from analysis</t>
  </si>
  <si>
    <t>too far apart (8 tokens)</t>
  </si>
  <si>
    <t>repeated lemma</t>
  </si>
  <si>
    <t>repeated POS</t>
  </si>
  <si>
    <t>comp. method pos/neg</t>
  </si>
  <si>
    <t>comp. method T/F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</si>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</sst>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212529"/>
      <name val="Aptos Display"/>
      <family val="2"/>
      <scheme val="major"/>
    </font>
    <font>
      <sz val="11"/>
      <color rgb="FF495057"/>
      <name val="Aptos Display"/>
      <family val="2"/>
      <scheme val="maj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4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1" xfId="0" applyBorder="1"/>
    <xf numFmtId="0" fontId="0" fillId="0" borderId="0" xfId="0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4" fillId="0" borderId="0" xfId="0" applyFont="1"/>
    <xf numFmtId="0" fontId="0" fillId="0" borderId="8" xfId="0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2" fillId="0" borderId="2" xfId="0" applyFont="1" applyBorder="1"/>
    <xf numFmtId="0" fontId="0" fillId="3" borderId="2" xfId="0" applyFill="1" applyBorder="1" applyAlignment="1">
      <alignment horizontal="center"/>
    </xf>
    <xf numFmtId="10" fontId="0" fillId="0" borderId="0" xfId="0" applyNumberFormat="1"/>
    <xf numFmtId="0" fontId="3" fillId="0" borderId="2" xfId="0" applyFont="1" applyBorder="1"/>
    <xf numFmtId="0" fontId="3" fillId="3" borderId="2" xfId="0" applyFont="1" applyFill="1" applyBorder="1"/>
    <xf numFmtId="0" fontId="4" fillId="3" borderId="2" xfId="0" applyFont="1" applyFill="1" applyBorder="1"/>
    <xf numFmtId="0" fontId="0" fillId="0" borderId="2" xfId="0" applyFill="1" applyBorder="1"/>
    <xf numFmtId="0" fontId="1" fillId="0" borderId="5" xfId="0" applyFont="1" applyFill="1" applyBorder="1"/>
    <xf numFmtId="0" fontId="0" fillId="0" borderId="8" xfId="0" applyFill="1" applyBorder="1"/>
    <xf numFmtId="0" fontId="0" fillId="0" borderId="0" xfId="0" applyFill="1"/>
    <xf numFmtId="0" fontId="0" fillId="0" borderId="2" xfId="0" applyFill="1" applyBorder="1" applyAlignment="1">
      <alignment horizontal="center"/>
    </xf>
    <xf numFmtId="10" fontId="0" fillId="0" borderId="0" xfId="0" applyNumberFormat="1" applyFill="1"/>
    <xf numFmtId="0" fontId="0" fillId="0" borderId="2" xfId="0" applyFill="1" applyBorder="1" applyAlignment="1">
      <alignment horizontal="right"/>
    </xf>
    <xf numFmtId="0" fontId="0" fillId="0" borderId="3" xfId="0" applyFill="1" applyBorder="1"/>
    <xf numFmtId="0" fontId="1" fillId="2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/>
    <xf numFmtId="0" fontId="0" fillId="0" borderId="8" xfId="0" applyFill="1" applyBorder="1" applyAlignment="1">
      <alignment horizontal="right"/>
    </xf>
    <xf numFmtId="0" fontId="0" fillId="0" borderId="8" xfId="0" applyFill="1" applyBorder="1" applyAlignment="1">
      <alignment horizontal="center"/>
    </xf>
    <xf numFmtId="0" fontId="3" fillId="0" borderId="8" xfId="0" applyFont="1" applyFill="1" applyBorder="1"/>
    <xf numFmtId="0" fontId="2" fillId="0" borderId="8" xfId="0" applyFont="1" applyFill="1" applyBorder="1"/>
    <xf numFmtId="0" fontId="1" fillId="0" borderId="5" xfId="0" applyFont="1" applyFill="1" applyBorder="1" applyAlignment="1">
      <alignment horizontal="left"/>
    </xf>
    <xf numFmtId="0" fontId="3" fillId="0" borderId="2" xfId="0" applyFont="1" applyFill="1" applyBorder="1"/>
    <xf numFmtId="0" fontId="4" fillId="0" borderId="2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</cellXfs>
  <cellStyles count="1">
    <cellStyle name="Normal" xfId="0" builtinId="0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theme="9" tint="0.79998168889431442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theme="9" tint="0.79998168889431442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1908E-3DC0-45D7-9D5F-D9AAF2B0C4C7}" name="Table1" displayName="Table1" ref="A1:M30" totalsRowShown="0" headerRowDxfId="127" headerRowBorderDxfId="126" tableBorderDxfId="125">
  <autoFilter ref="A1:M30" xr:uid="{7651908E-3DC0-45D7-9D5F-D9AAF2B0C4C7}"/>
  <tableColumns count="13">
    <tableColumn id="1" xr3:uid="{996AA66B-0D02-4288-B35D-C88209D5EB66}" name="text" dataDxfId="74"/>
    <tableColumn id="2" xr3:uid="{65857B74-069D-41A3-995D-7E2E0938A11B}" name="window" dataDxfId="72"/>
    <tableColumn id="3" xr3:uid="{3E610FBA-360D-4DAC-9213-BF272EB9A44E}" name="ID" dataDxfId="73"/>
    <tableColumn id="4" xr3:uid="{265827E9-F324-4520-BCD4-6EFB0177718A}" name="book" dataDxfId="124"/>
    <tableColumn id="5" xr3:uid="{522B5E86-040B-4400-B16B-C2499F2F1853}" name="line" dataDxfId="123"/>
    <tableColumn id="6" xr3:uid="{9A4D4EE6-B57D-4756-BC84-99AD5CE94CB2}" name="manual T/F" dataDxfId="122"/>
    <tableColumn id="7" xr3:uid="{E6AC8B54-F4AA-4012-9D91-8FC651090418}" name="manual pos/neg" dataDxfId="71"/>
    <tableColumn id="8" xr3:uid="{7C3DB3EF-09AB-48E9-B22E-446DCA770165}" name="4-windows T/F" dataDxfId="69"/>
    <tableColumn id="9" xr3:uid="{2DCFE599-0B30-4779-B6C1-4C4E606996A7}" name="4-windows pos/neg" dataDxfId="70"/>
    <tableColumn id="15" xr3:uid="{FA6F1D5C-EB23-4BEF-B2C9-4C3F51D2FA0F}" name="token 1"/>
    <tableColumn id="14" xr3:uid="{F9804A01-62F2-42C3-A8A7-ACDDCC1BB404}" name="token 2"/>
    <tableColumn id="10" xr3:uid="{EB1BE379-43FD-4458-991D-EA8CAD8D549C}" name="repeated lemma" dataDxfId="121"/>
    <tableColumn id="11" xr3:uid="{052F69D3-7938-497C-8638-5A18AC38ACF8}" name="repeated POS" dataDxfId="1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FE9AF-6FA3-4706-ABD4-27F7863FC32A}" name="Table2" displayName="Table2" ref="A1:M38" totalsRowShown="0" headerRowDxfId="119" headerRowBorderDxfId="118" tableBorderDxfId="117">
  <autoFilter ref="A1:M38" xr:uid="{C89FE9AF-6FA3-4706-ABD4-27F7863FC32A}"/>
  <tableColumns count="13">
    <tableColumn id="1" xr3:uid="{D3E6BA03-1306-4C00-957F-D45B35CAC3F9}" name="text" dataDxfId="68"/>
    <tableColumn id="2" xr3:uid="{6048965D-A336-40B2-BABD-86A6E3D1FAFF}" name="window" dataDxfId="66"/>
    <tableColumn id="3" xr3:uid="{450FB29B-9908-4E38-A3FC-507955B8048D}" name="ID" dataDxfId="67"/>
    <tableColumn id="4" xr3:uid="{06759FC3-BCAC-48FD-8A48-96587A93C6B7}" name="book" dataDxfId="116"/>
    <tableColumn id="5" xr3:uid="{3CA3659A-785A-479C-9A2A-4A9283D01918}" name="line" dataDxfId="115"/>
    <tableColumn id="6" xr3:uid="{8762373A-9DE5-423B-8D7E-C7AD1ACD3B6C}" name="manual T/F" dataDxfId="114"/>
    <tableColumn id="7" xr3:uid="{FFB44F87-9EB1-4E4C-AE77-467510113AD5}" name="manual pos/neg" dataDxfId="113"/>
    <tableColumn id="8" xr3:uid="{504ABE9C-7CB0-4698-868C-B3AE1817E445}" name="5-windows T/F" dataDxfId="112"/>
    <tableColumn id="9" xr3:uid="{A2316879-49BE-430D-A372-92FDC6E66362}" name="5-windows pos/neg" dataDxfId="111"/>
    <tableColumn id="15" xr3:uid="{E4C80C57-5D1A-4D4D-A62C-CCEE2661EA74}" name="token 1"/>
    <tableColumn id="13" xr3:uid="{D96A24C3-FAE9-4397-93D5-F8D78E37302F}" name="token 2"/>
    <tableColumn id="10" xr3:uid="{A8354422-C81A-44AC-A4A8-59912D7876A5}" name="repeated lemma" dataDxfId="110"/>
    <tableColumn id="11" xr3:uid="{AEC7802F-1ED4-4015-812A-286A22C32803}" name="repeated POS" dataDxfId="10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CC0B0B-260C-44E5-97F3-B520018EF829}" name="Table3" displayName="Table3" ref="A1:M39" totalsRowShown="0" headerRowDxfId="108" headerRowBorderDxfId="107" tableBorderDxfId="106">
  <autoFilter ref="A1:M39" xr:uid="{96CC0B0B-260C-44E5-97F3-B520018EF829}"/>
  <tableColumns count="13">
    <tableColumn id="1" xr3:uid="{31BB9605-6649-499D-9C30-31BB2EDF6FAC}" name="text" dataDxfId="65"/>
    <tableColumn id="2" xr3:uid="{F1184E16-AB24-4CAB-932B-83AE467FE8D8}" name="window" dataDxfId="63"/>
    <tableColumn id="3" xr3:uid="{49F3CC9B-5968-4244-83B9-57BC22AB61BB}" name="ID" dataDxfId="64"/>
    <tableColumn id="4" xr3:uid="{4708C496-6104-4897-988B-AD85A8BFD946}" name="book" dataDxfId="105"/>
    <tableColumn id="5" xr3:uid="{E3D1DD22-DA05-4A44-A331-1764CC452CA3}" name="line" dataDxfId="104"/>
    <tableColumn id="6" xr3:uid="{736A3553-710C-431A-B199-825A3775C6A2}" name="manual T/F" dataDxfId="103"/>
    <tableColumn id="7" xr3:uid="{B24F7AB8-D032-4337-B957-47EA79AA913E}" name="manual pos/neg" dataDxfId="102"/>
    <tableColumn id="8" xr3:uid="{E4680213-770E-4A5E-8F04-662FEB836133}" name="6-windows T/F" dataDxfId="101"/>
    <tableColumn id="9" xr3:uid="{50B625F4-AAE8-449D-8B94-8F5B3759DCE9}" name="6-windows pos/neg" dataDxfId="100"/>
    <tableColumn id="16" xr3:uid="{96FC6708-F1F2-452D-B386-AB3637E7A24A}" name="token 1" dataDxfId="99"/>
    <tableColumn id="15" xr3:uid="{825BC0D1-D693-40CD-AE0B-6643DCAEC2EA}" name="token 2" dataDxfId="98"/>
    <tableColumn id="10" xr3:uid="{9E04A5AD-C5E9-4F7A-AD74-134FE58D2375}" name="repeated lemma" dataDxfId="97"/>
    <tableColumn id="11" xr3:uid="{CE2DF4E0-F7F4-4580-9C1A-37D573CABD3F}" name="repeated POS" dataDxfId="9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EE785E-85AB-4AA8-9F59-F6390D5B5B6F}" name="Table7" displayName="Table7" ref="A1:M31" totalsRowShown="0" headerRowDxfId="3" dataDxfId="95" headerRowBorderDxfId="4" tableBorderDxfId="94">
  <autoFilter ref="A1:M31" xr:uid="{93EE785E-85AB-4AA8-9F59-F6390D5B5B6F}"/>
  <tableColumns count="13">
    <tableColumn id="1" xr3:uid="{F809C16F-9A39-4C9F-B8FF-83D0125F4775}" name="method"/>
    <tableColumn id="2" xr3:uid="{B0F59D8E-F555-4249-806A-1EBF4A2218D3}" name="window" dataDxfId="61"/>
    <tableColumn id="3" xr3:uid="{1128095E-C5CE-4EE4-91DB-C71747C4E1ED}" name="ID" dataDxfId="62"/>
    <tableColumn id="4" xr3:uid="{95C9B968-DE36-4F63-9C57-CE0549D5ECEB}" name="book" dataDxfId="93"/>
    <tableColumn id="5" xr3:uid="{75E6973C-E2A3-4723-90E0-138D3F569B0C}" name="line" dataDxfId="92"/>
    <tableColumn id="6" xr3:uid="{6BD4E5A2-97B0-4E25-AF11-FCA7A9A346A5}" name="manual T/F" dataDxfId="91"/>
    <tableColumn id="7" xr3:uid="{40B1F61B-58B6-4AB9-8870-EC0F464C52A8}" name="manual pos/neg" dataDxfId="2"/>
    <tableColumn id="8" xr3:uid="{C76A61C7-EFCC-4F8C-9BF2-A85F4DB3F23C}" name="comp. method T/F" dataDxfId="0"/>
    <tableColumn id="9" xr3:uid="{AFD909FC-A07B-431C-996C-D90BE8368D29}" name="comp. method pos/neg" dataDxfId="1"/>
    <tableColumn id="10" xr3:uid="{1797523B-2CB9-41BB-83DF-F34C122433A0}" name="token 1" dataDxfId="90"/>
    <tableColumn id="11" xr3:uid="{A9D33A96-8BE4-4913-A776-92A0FA736645}" name="token 2" dataDxfId="89"/>
    <tableColumn id="12" xr3:uid="{8C15B139-F149-4E9A-B6BF-EEB8780E75F4}" name="repeated lemma" dataDxfId="88"/>
    <tableColumn id="13" xr3:uid="{D851EC95-9485-4183-9E7D-134997283233}" name="repeated PO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6AB1D6-50B6-4263-8DA6-B3707814A2C4}" name="Table8" displayName="Table8" ref="A1:M16" totalsRowShown="0" headerRowDxfId="5" dataDxfId="47" headerRowBorderDxfId="6" tableBorderDxfId="87">
  <autoFilter ref="A1:M16" xr:uid="{C46AB1D6-50B6-4263-8DA6-B3707814A2C4}"/>
  <tableColumns count="13">
    <tableColumn id="1" xr3:uid="{72E95E45-200A-4B68-A19E-8E42FC633FB8}" name="method" dataDxfId="60"/>
    <tableColumn id="2" xr3:uid="{A0C65009-D27F-4097-AC82-3844EBA9080A}" name="window" dataDxfId="59"/>
    <tableColumn id="3" xr3:uid="{828B3BFF-3F04-4B18-9241-CB21843BBEEF}" name="ID" dataDxfId="58"/>
    <tableColumn id="4" xr3:uid="{1CBB2C17-44E4-435A-90E7-B28BD2C40F61}" name="book" dataDxfId="57"/>
    <tableColumn id="5" xr3:uid="{B5BC347F-BC3C-4CE4-A930-624D7FD45F81}" name="line" dataDxfId="56"/>
    <tableColumn id="6" xr3:uid="{C07AB3D8-0FE3-4B3C-A9CA-57848D44A299}" name="manual T/F" dataDxfId="55"/>
    <tableColumn id="7" xr3:uid="{389621B0-75A9-4AEC-8A22-E629C1D2D02F}" name="manual pos/neg" dataDxfId="54"/>
    <tableColumn id="8" xr3:uid="{9C54DC3E-4B93-4531-BD85-C76CD3FCDFB1}" name="comp. method T/F" dataDxfId="53"/>
    <tableColumn id="9" xr3:uid="{98738F60-A951-4F58-BA62-5F88498877D8}" name="comp. method pos/neg" dataDxfId="52"/>
    <tableColumn id="10" xr3:uid="{AB8A452D-03F1-4A3C-9D91-2D5377668880}" name="token 1" dataDxfId="51"/>
    <tableColumn id="11" xr3:uid="{44E0F36B-03FC-432B-B45B-B151A2808E12}" name="token 2" dataDxfId="50"/>
    <tableColumn id="12" xr3:uid="{07E057E3-D290-485D-896B-9F003A93172D}" name="repeated lemma" dataDxfId="49"/>
    <tableColumn id="13" xr3:uid="{46969402-24A5-4BED-8503-1CFD17AA9ECB}" name="repeated POS" dataDxfId="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D42F8B-743D-487B-A5A3-BE66920E268A}" name="Table9" displayName="Table9" ref="A1:M30" totalsRowShown="0" headerRowDxfId="7" dataDxfId="36" headerRowBorderDxfId="8" tableBorderDxfId="86">
  <autoFilter ref="A1:M30" xr:uid="{69D42F8B-743D-487B-A5A3-BE66920E268A}"/>
  <tableColumns count="13">
    <tableColumn id="1" xr3:uid="{9A562C78-47A6-494C-9DA5-F271BD2EF168}" name="method" dataDxfId="46"/>
    <tableColumn id="2" xr3:uid="{DAFD5250-431B-4DC1-A151-B121F161578E}" name="window" dataDxfId="45"/>
    <tableColumn id="3" xr3:uid="{E3E7DD0F-A586-483D-95F5-56DC3751F236}" name="ID" dataDxfId="44"/>
    <tableColumn id="4" xr3:uid="{0471FC05-8022-4240-B3D8-ADF530705D3A}" name="book" dataDxfId="35"/>
    <tableColumn id="5" xr3:uid="{287B152C-0299-4B05-86D1-73474D91FBAA}" name="line" dataDxfId="33"/>
    <tableColumn id="6" xr3:uid="{E45A4446-3D91-491A-8E79-D648E8ACE7DA}" name="manual T/F" dataDxfId="34"/>
    <tableColumn id="7" xr3:uid="{C2D5FC12-6482-4484-AE2E-6CFB92609736}" name="manual pos/neg" dataDxfId="43"/>
    <tableColumn id="8" xr3:uid="{EC81AFFC-485A-40A1-B6F8-765D902485DD}" name="comp. method T/F" dataDxfId="42"/>
    <tableColumn id="9" xr3:uid="{3EB2C657-3D53-4942-A101-DB9EFE65A235}" name="comp. method pos/neg" dataDxfId="41"/>
    <tableColumn id="10" xr3:uid="{2B11AF4F-9EA8-4BFB-A3BC-A2E7A1EA7E80}" name="token 1" dataDxfId="40"/>
    <tableColumn id="11" xr3:uid="{44DC166E-815C-4557-8B2E-DD3A4D23BDF7}" name="token 2" dataDxfId="39"/>
    <tableColumn id="12" xr3:uid="{9A0D067A-4C4F-4B09-AF05-9EDC1B29901F}" name="repeated lemma" dataDxfId="38"/>
    <tableColumn id="13" xr3:uid="{9A3864F8-5971-4620-B606-AB2FB2BE91D4}" name="repeated POS" dataDxfId="3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A8984-073B-408E-B358-1D3ED3C8C70A}" name="Table6" displayName="Table6" ref="A1:M31" totalsRowShown="0" headerRowDxfId="85" dataDxfId="83" headerRowBorderDxfId="84" tableBorderDxfId="82">
  <autoFilter ref="A1:M31" xr:uid="{376A8984-073B-408E-B358-1D3ED3C8C70A}"/>
  <tableColumns count="13">
    <tableColumn id="1" xr3:uid="{90651CDA-8886-4516-95B5-5136215557D6}" name="method"/>
    <tableColumn id="2" xr3:uid="{8E053999-8C75-4C1D-9665-0A689906DBA9}" name="window" dataDxfId="15"/>
    <tableColumn id="3" xr3:uid="{C17E12CF-0D4C-4F13-8784-9A2C5AD4D409}" name="ID" dataDxfId="16"/>
    <tableColumn id="4" xr3:uid="{1B0D56A8-C116-4A9F-A248-3F41567236FE}" name="book" dataDxfId="81"/>
    <tableColumn id="5" xr3:uid="{5E0850EB-875C-4D9B-ABB7-0A018CCA816F}" name="line" dataDxfId="80"/>
    <tableColumn id="6" xr3:uid="{04CDDE1C-0732-44D3-A216-317DFE5E51E1}" name="manual T/F" dataDxfId="79"/>
    <tableColumn id="7" xr3:uid="{E65CFF64-2C13-410C-BB81-AC456AEC4B8E}" name="manual pos/neg" dataDxfId="11"/>
    <tableColumn id="8" xr3:uid="{E7BC8597-CB14-4FF2-815C-732FC9D278DD}" name="comp. method T/F" dataDxfId="9"/>
    <tableColumn id="9" xr3:uid="{33C79F1D-8384-4AA9-BD48-B1A5219BAB16}" name="comp. method pos/neg" dataDxfId="10"/>
    <tableColumn id="10" xr3:uid="{EC3A27A0-8A17-4C54-8DFF-B1CEC699C917}" name="token 1" dataDxfId="78"/>
    <tableColumn id="11" xr3:uid="{8F0D5299-6E66-4CB8-A0D9-70D46B892B35}" name="token 2" dataDxfId="14"/>
    <tableColumn id="12" xr3:uid="{488B0B0A-7844-4826-A6BF-36E186A1E459}" name="repeated lemma" dataDxfId="13"/>
    <tableColumn id="13" xr3:uid="{A366E717-F72D-4D39-8AA0-1CDC95D99ABF}" name="repeated POS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D1E681-19D2-41B2-8D9E-F0FDFE3C5FF6}" name="Table5" displayName="Table5" ref="A1:N39" totalsRowShown="0" headerRowDxfId="141" dataDxfId="139" headerRowBorderDxfId="140" tableBorderDxfId="138">
  <autoFilter ref="A1:N39" xr:uid="{EAD1E681-19D2-41B2-8D9E-F0FDFE3C5FF6}"/>
  <tableColumns count="14">
    <tableColumn id="1" xr3:uid="{35A3E697-E0FA-4816-A315-9FA88352A5E3}" name="text" dataDxfId="77"/>
    <tableColumn id="2" xr3:uid="{8EDBA4AD-B98D-479A-995C-D4C9BBCB7C92}" name="window" dataDxfId="75"/>
    <tableColumn id="3" xr3:uid="{EA7DAA13-ECDC-4CC4-ADFC-FA58CCE8D286}" name="ID" dataDxfId="76"/>
    <tableColumn id="4" xr3:uid="{4617C1DA-16B5-438E-BE89-B60C078596AE}" name="book" dataDxfId="137"/>
    <tableColumn id="5" xr3:uid="{E1E091D8-D945-4257-987C-16717D9CA438}" name="line" dataDxfId="136"/>
    <tableColumn id="6" xr3:uid="{D8F2E619-A48C-4E9A-BF93-5C7410BA62C7}" name="ground truth data"/>
    <tableColumn id="7" xr3:uid="{09D2FF2D-087C-4E7B-B061-5721A78B7423}" name="manual T/F" dataDxfId="135"/>
    <tableColumn id="8" xr3:uid="{1BACF489-69D6-4360-8277-306E627ABC3A}" name="manual pos/neg" dataDxfId="134"/>
    <tableColumn id="9" xr3:uid="{99848488-9148-4D3B-B79F-CD756C8CB834}" name="6-windows T/F" dataDxfId="133"/>
    <tableColumn id="10" xr3:uid="{B903B03E-1532-4827-831A-04CBA3D3D222}" name="6-windows pos/neg" dataDxfId="132"/>
    <tableColumn id="11" xr3:uid="{A47C60AE-5350-4A23-937F-D9D7A412E9E1}" name="token 1" dataDxfId="131"/>
    <tableColumn id="12" xr3:uid="{8BC0DDF1-C61A-4D2E-B73D-7C12F2C3062B}" name="token 2" dataDxfId="130"/>
    <tableColumn id="13" xr3:uid="{BE1B874B-AA03-4007-8885-FFAC892FCF46}" name="repeated lemma" dataDxfId="129"/>
    <tableColumn id="14" xr3:uid="{3AD63526-6F13-4980-B9A4-BAD310DCC567}" name="repeated POS" dataDxfId="1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921033-597F-4142-822F-775FF2C40FCF}" name="Table4" displayName="Table4" ref="A1:K6" totalsRowShown="0" headerRowDxfId="18" dataDxfId="17" headerRowBorderDxfId="31" tableBorderDxfId="32" totalsRowBorderDxfId="30">
  <autoFilter ref="A1:K6" xr:uid="{F2921033-597F-4142-822F-775FF2C40FCF}"/>
  <tableColumns count="11">
    <tableColumn id="1" xr3:uid="{3AAD56C1-C2E4-427D-AA46-26A60794DFDC}" name="text" dataDxfId="29"/>
    <tableColumn id="2" xr3:uid="{056762D3-82E3-46E0-9AEC-3DC831E1D5A3}" name="window" dataDxfId="28"/>
    <tableColumn id="3" xr3:uid="{112B337B-13F8-4D73-93C6-FA55D8A7D92F}" name="_id" dataDxfId="27"/>
    <tableColumn id="4" xr3:uid="{83B15827-B303-4D84-9612-C132656C1FA4}" name="book" dataDxfId="26"/>
    <tableColumn id="5" xr3:uid="{D1B88041-1689-4D68-91A1-EE73BD8ED4BB}" name="line" dataDxfId="25"/>
    <tableColumn id="6" xr3:uid="{2AB9240B-142B-4B5E-BF9B-47C6154CD915}" name="manual T/F" dataDxfId="24"/>
    <tableColumn id="7" xr3:uid="{CFF5A3A6-AB15-457E-9DE0-04244A9E1E71}" name="token 1" dataDxfId="23"/>
    <tableColumn id="8" xr3:uid="{989B9E43-9279-4E84-ADC7-F11959924DBE}" name="token 2" dataDxfId="22"/>
    <tableColumn id="9" xr3:uid="{F4881328-FAE0-4E33-8F0F-573A98511EA8}" name="rep_lemma" dataDxfId="21"/>
    <tableColumn id="10" xr3:uid="{E01E284E-C9F3-40FA-92E6-FE31AA037251}" name="rep_pos" dataDxfId="20"/>
    <tableColumn id="11" xr3:uid="{3BFBD9C8-556D-4829-AF3E-89193BEA7B40}" name="reason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4F07-BD6A-4B81-8126-74644604DC08}">
  <dimension ref="A1:M49"/>
  <sheetViews>
    <sheetView tabSelected="1" workbookViewId="0">
      <selection activeCell="L1" sqref="L1:M1"/>
    </sheetView>
  </sheetViews>
  <sheetFormatPr defaultRowHeight="14.5" x14ac:dyDescent="0.35"/>
  <cols>
    <col min="2" max="2" width="9.26953125" style="31" customWidth="1"/>
    <col min="3" max="3" width="6" customWidth="1"/>
    <col min="4" max="4" width="7.90625" customWidth="1"/>
    <col min="5" max="5" width="7.36328125" style="6" customWidth="1"/>
    <col min="6" max="6" width="12.1796875" style="14" customWidth="1"/>
    <col min="7" max="7" width="16.26953125" customWidth="1"/>
    <col min="8" max="8" width="14.81640625" style="31" customWidth="1"/>
    <col min="9" max="9" width="18.90625" customWidth="1"/>
    <col min="10" max="10" width="10.54296875" customWidth="1"/>
    <col min="11" max="11" width="10.90625" customWidth="1"/>
    <col min="12" max="12" width="18" customWidth="1"/>
    <col min="13" max="13" width="14.36328125" customWidth="1"/>
  </cols>
  <sheetData>
    <row r="1" spans="1:13" x14ac:dyDescent="0.35">
      <c r="A1" s="3" t="s">
        <v>0</v>
      </c>
      <c r="B1" s="29" t="s">
        <v>1</v>
      </c>
      <c r="C1" s="4" t="s">
        <v>231</v>
      </c>
      <c r="D1" s="4" t="s">
        <v>3</v>
      </c>
      <c r="E1" s="36" t="s">
        <v>4</v>
      </c>
      <c r="F1" s="36" t="s">
        <v>5</v>
      </c>
      <c r="G1" s="4" t="s">
        <v>6</v>
      </c>
      <c r="H1" s="29" t="s">
        <v>7</v>
      </c>
      <c r="I1" s="4" t="s">
        <v>8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s="5" t="s">
        <v>12</v>
      </c>
      <c r="B2" s="28" t="s">
        <v>13</v>
      </c>
      <c r="C2" s="1" t="s">
        <v>14</v>
      </c>
      <c r="D2" s="1">
        <v>24</v>
      </c>
      <c r="E2" s="10">
        <v>52</v>
      </c>
      <c r="F2" s="13" t="s">
        <v>93</v>
      </c>
      <c r="G2" s="13" t="s">
        <v>23</v>
      </c>
      <c r="H2" s="32" t="s">
        <v>93</v>
      </c>
      <c r="I2" s="13" t="s">
        <v>23</v>
      </c>
      <c r="J2" s="1" t="s">
        <v>100</v>
      </c>
      <c r="K2" s="1" t="s">
        <v>101</v>
      </c>
      <c r="L2" s="1" t="s">
        <v>15</v>
      </c>
      <c r="M2" s="1" t="s">
        <v>16</v>
      </c>
    </row>
    <row r="3" spans="1:13" x14ac:dyDescent="0.35">
      <c r="A3" s="5" t="s">
        <v>12</v>
      </c>
      <c r="B3" s="28" t="s">
        <v>24</v>
      </c>
      <c r="C3" s="1"/>
      <c r="D3" s="1">
        <v>24</v>
      </c>
      <c r="E3" s="10">
        <v>57</v>
      </c>
      <c r="F3" s="13" t="s">
        <v>93</v>
      </c>
      <c r="G3" s="13" t="s">
        <v>23</v>
      </c>
      <c r="H3" s="32" t="b">
        <v>0</v>
      </c>
      <c r="I3" s="13" t="s">
        <v>25</v>
      </c>
      <c r="J3" t="s">
        <v>119</v>
      </c>
      <c r="K3" t="s">
        <v>120</v>
      </c>
      <c r="L3" t="s">
        <v>120</v>
      </c>
      <c r="M3" t="s">
        <v>121</v>
      </c>
    </row>
    <row r="4" spans="1:13" x14ac:dyDescent="0.35">
      <c r="A4" s="5" t="s">
        <v>12</v>
      </c>
      <c r="B4" s="28" t="s">
        <v>17</v>
      </c>
      <c r="C4" s="1" t="s">
        <v>18</v>
      </c>
      <c r="D4" s="1">
        <v>24</v>
      </c>
      <c r="E4" s="10">
        <v>154</v>
      </c>
      <c r="F4" s="13" t="s">
        <v>93</v>
      </c>
      <c r="G4" s="13" t="s">
        <v>23</v>
      </c>
      <c r="H4" s="32" t="s">
        <v>93</v>
      </c>
      <c r="I4" s="13" t="s">
        <v>23</v>
      </c>
      <c r="J4" s="1" t="s">
        <v>102</v>
      </c>
      <c r="K4" s="1" t="s">
        <v>103</v>
      </c>
      <c r="L4" s="1" t="s">
        <v>19</v>
      </c>
      <c r="M4" s="1" t="s">
        <v>20</v>
      </c>
    </row>
    <row r="5" spans="1:13" x14ac:dyDescent="0.35">
      <c r="A5" s="5" t="s">
        <v>12</v>
      </c>
      <c r="B5" s="28" t="s">
        <v>21</v>
      </c>
      <c r="C5" s="1" t="s">
        <v>22</v>
      </c>
      <c r="D5" s="1">
        <v>24</v>
      </c>
      <c r="E5" s="10">
        <v>183</v>
      </c>
      <c r="F5" s="13" t="s">
        <v>93</v>
      </c>
      <c r="G5" s="13" t="s">
        <v>23</v>
      </c>
      <c r="H5" s="32" t="s">
        <v>93</v>
      </c>
      <c r="I5" s="13" t="s">
        <v>23</v>
      </c>
      <c r="J5" s="1" t="s">
        <v>102</v>
      </c>
      <c r="K5" s="1" t="s">
        <v>103</v>
      </c>
      <c r="L5" s="1" t="s">
        <v>19</v>
      </c>
      <c r="M5" s="1" t="s">
        <v>20</v>
      </c>
    </row>
    <row r="6" spans="1:13" x14ac:dyDescent="0.35">
      <c r="A6" s="5" t="s">
        <v>12</v>
      </c>
      <c r="B6" s="28" t="s">
        <v>126</v>
      </c>
      <c r="C6" s="1"/>
      <c r="D6" s="1">
        <v>24</v>
      </c>
      <c r="E6" s="10">
        <v>397</v>
      </c>
      <c r="F6" s="13" t="s">
        <v>93</v>
      </c>
      <c r="G6" s="14" t="s">
        <v>23</v>
      </c>
      <c r="H6" s="32" t="b">
        <v>0</v>
      </c>
      <c r="I6" s="14" t="s">
        <v>25</v>
      </c>
      <c r="J6" t="s">
        <v>127</v>
      </c>
      <c r="K6" t="s">
        <v>128</v>
      </c>
      <c r="L6" t="s">
        <v>125</v>
      </c>
      <c r="M6" t="s">
        <v>20</v>
      </c>
    </row>
    <row r="7" spans="1:13" x14ac:dyDescent="0.35">
      <c r="A7" s="5" t="s">
        <v>12</v>
      </c>
      <c r="B7" s="28" t="s">
        <v>129</v>
      </c>
      <c r="C7" s="1"/>
      <c r="D7" s="1">
        <v>24</v>
      </c>
      <c r="E7" s="10">
        <v>399</v>
      </c>
      <c r="F7" s="13" t="s">
        <v>93</v>
      </c>
      <c r="G7" s="14" t="s">
        <v>23</v>
      </c>
      <c r="H7" s="32" t="b">
        <v>0</v>
      </c>
      <c r="I7" s="14" t="s">
        <v>25</v>
      </c>
      <c r="J7" t="s">
        <v>130</v>
      </c>
      <c r="K7" t="s">
        <v>131</v>
      </c>
      <c r="L7" t="s">
        <v>125</v>
      </c>
      <c r="M7" t="s">
        <v>20</v>
      </c>
    </row>
    <row r="8" spans="1:13" x14ac:dyDescent="0.35">
      <c r="A8" s="5" t="s">
        <v>12</v>
      </c>
      <c r="B8" s="28" t="s">
        <v>80</v>
      </c>
      <c r="C8" s="1"/>
      <c r="D8" s="1">
        <v>24</v>
      </c>
      <c r="E8" s="10">
        <v>483</v>
      </c>
      <c r="F8" s="13" t="s">
        <v>93</v>
      </c>
      <c r="G8" s="14" t="s">
        <v>23</v>
      </c>
      <c r="H8" s="32" t="b">
        <v>0</v>
      </c>
      <c r="I8" s="14" t="s">
        <v>25</v>
      </c>
      <c r="J8" t="s">
        <v>132</v>
      </c>
      <c r="K8" t="s">
        <v>133</v>
      </c>
      <c r="L8" t="s">
        <v>82</v>
      </c>
      <c r="M8" t="s">
        <v>20</v>
      </c>
    </row>
    <row r="9" spans="1:13" x14ac:dyDescent="0.35">
      <c r="A9" s="5" t="s">
        <v>12</v>
      </c>
      <c r="B9" s="28" t="s">
        <v>64</v>
      </c>
      <c r="C9" s="1"/>
      <c r="D9" s="1">
        <v>24</v>
      </c>
      <c r="E9" s="10">
        <v>688</v>
      </c>
      <c r="F9" s="13" t="s">
        <v>93</v>
      </c>
      <c r="G9" s="14" t="s">
        <v>23</v>
      </c>
      <c r="H9" s="32" t="b">
        <v>0</v>
      </c>
      <c r="I9" s="14" t="s">
        <v>25</v>
      </c>
      <c r="J9" t="s">
        <v>134</v>
      </c>
      <c r="K9" t="s">
        <v>135</v>
      </c>
      <c r="L9" t="s">
        <v>69</v>
      </c>
      <c r="M9" t="s">
        <v>20</v>
      </c>
    </row>
    <row r="10" spans="1:13" x14ac:dyDescent="0.35">
      <c r="A10" s="5" t="s">
        <v>26</v>
      </c>
      <c r="B10" s="28" t="s">
        <v>71</v>
      </c>
      <c r="C10" s="1"/>
      <c r="D10" s="1">
        <v>1</v>
      </c>
      <c r="E10" s="10">
        <v>41</v>
      </c>
      <c r="F10" s="13" t="s">
        <v>93</v>
      </c>
      <c r="G10" s="14" t="s">
        <v>23</v>
      </c>
      <c r="H10" s="32" t="b">
        <v>0</v>
      </c>
      <c r="I10" s="14" t="s">
        <v>25</v>
      </c>
      <c r="J10" t="s">
        <v>136</v>
      </c>
      <c r="K10" t="s">
        <v>137</v>
      </c>
      <c r="L10" t="s">
        <v>137</v>
      </c>
      <c r="M10" t="s">
        <v>121</v>
      </c>
    </row>
    <row r="11" spans="1:13" x14ac:dyDescent="0.35">
      <c r="A11" s="5" t="s">
        <v>26</v>
      </c>
      <c r="B11" s="28" t="s">
        <v>138</v>
      </c>
      <c r="C11" s="1"/>
      <c r="D11" s="1">
        <v>1</v>
      </c>
      <c r="E11" s="10">
        <v>135</v>
      </c>
      <c r="F11" s="13" t="s">
        <v>93</v>
      </c>
      <c r="G11" s="14" t="s">
        <v>23</v>
      </c>
      <c r="H11" s="32" t="b">
        <v>0</v>
      </c>
      <c r="I11" s="14" t="s">
        <v>25</v>
      </c>
      <c r="J11" t="s">
        <v>139</v>
      </c>
      <c r="K11" t="s">
        <v>140</v>
      </c>
      <c r="L11" t="s">
        <v>141</v>
      </c>
      <c r="M11" t="s">
        <v>121</v>
      </c>
    </row>
    <row r="12" spans="1:13" x14ac:dyDescent="0.35">
      <c r="A12" s="5" t="s">
        <v>26</v>
      </c>
      <c r="B12" s="28" t="s">
        <v>28</v>
      </c>
      <c r="C12" s="1" t="s">
        <v>29</v>
      </c>
      <c r="D12" s="1">
        <v>1</v>
      </c>
      <c r="E12" s="10">
        <v>297</v>
      </c>
      <c r="F12" s="13" t="s">
        <v>93</v>
      </c>
      <c r="G12" s="14" t="s">
        <v>23</v>
      </c>
      <c r="H12" s="32" t="s">
        <v>93</v>
      </c>
      <c r="I12" s="14" t="s">
        <v>23</v>
      </c>
      <c r="J12" t="s">
        <v>104</v>
      </c>
      <c r="K12" t="s">
        <v>32</v>
      </c>
      <c r="L12" s="1" t="s">
        <v>32</v>
      </c>
      <c r="M12" s="1" t="s">
        <v>31</v>
      </c>
    </row>
    <row r="13" spans="1:13" x14ac:dyDescent="0.35">
      <c r="A13" s="5" t="s">
        <v>26</v>
      </c>
      <c r="B13" s="28" t="s">
        <v>142</v>
      </c>
      <c r="C13" s="1"/>
      <c r="D13" s="1">
        <v>1</v>
      </c>
      <c r="E13" s="10">
        <v>336</v>
      </c>
      <c r="F13" s="13" t="s">
        <v>93</v>
      </c>
      <c r="G13" s="14" t="s">
        <v>23</v>
      </c>
      <c r="H13" s="32" t="b">
        <v>0</v>
      </c>
      <c r="I13" s="14" t="s">
        <v>25</v>
      </c>
      <c r="J13" t="s">
        <v>143</v>
      </c>
      <c r="K13" t="s">
        <v>144</v>
      </c>
      <c r="L13" t="s">
        <v>145</v>
      </c>
      <c r="M13" t="s">
        <v>16</v>
      </c>
    </row>
    <row r="14" spans="1:13" x14ac:dyDescent="0.35">
      <c r="A14" s="5" t="s">
        <v>26</v>
      </c>
      <c r="B14" s="28" t="s">
        <v>83</v>
      </c>
      <c r="C14" s="1"/>
      <c r="D14" s="1">
        <v>1</v>
      </c>
      <c r="E14" s="10">
        <v>583</v>
      </c>
      <c r="F14" s="13" t="s">
        <v>93</v>
      </c>
      <c r="G14" s="14" t="s">
        <v>23</v>
      </c>
      <c r="H14" s="32" t="b">
        <v>0</v>
      </c>
      <c r="I14" s="14" t="s">
        <v>25</v>
      </c>
      <c r="J14" t="s">
        <v>146</v>
      </c>
      <c r="K14" t="s">
        <v>147</v>
      </c>
      <c r="L14" t="s">
        <v>84</v>
      </c>
      <c r="M14" t="s">
        <v>20</v>
      </c>
    </row>
    <row r="15" spans="1:13" x14ac:dyDescent="0.35">
      <c r="A15" s="5" t="s">
        <v>33</v>
      </c>
      <c r="B15" s="28" t="s">
        <v>34</v>
      </c>
      <c r="C15" s="1" t="s">
        <v>29</v>
      </c>
      <c r="D15" s="1">
        <v>10</v>
      </c>
      <c r="E15" s="10" t="s">
        <v>35</v>
      </c>
      <c r="F15" s="14" t="b">
        <v>0</v>
      </c>
      <c r="G15" s="14" t="s">
        <v>25</v>
      </c>
      <c r="H15" s="32" t="s">
        <v>93</v>
      </c>
      <c r="I15" s="14" t="s">
        <v>23</v>
      </c>
      <c r="J15" t="s">
        <v>94</v>
      </c>
      <c r="K15" t="s">
        <v>97</v>
      </c>
      <c r="L15" s="1" t="s">
        <v>47</v>
      </c>
      <c r="M15" s="1" t="s">
        <v>16</v>
      </c>
    </row>
    <row r="16" spans="1:13" x14ac:dyDescent="0.35">
      <c r="A16" s="5" t="s">
        <v>33</v>
      </c>
      <c r="B16" s="28" t="s">
        <v>36</v>
      </c>
      <c r="C16" s="1" t="s">
        <v>37</v>
      </c>
      <c r="D16" s="1">
        <v>10</v>
      </c>
      <c r="E16" s="10" t="s">
        <v>38</v>
      </c>
      <c r="F16" s="13" t="s">
        <v>93</v>
      </c>
      <c r="G16" s="14" t="s">
        <v>23</v>
      </c>
      <c r="H16" s="32" t="s">
        <v>93</v>
      </c>
      <c r="I16" s="14" t="s">
        <v>23</v>
      </c>
      <c r="J16" t="s">
        <v>105</v>
      </c>
      <c r="K16" t="s">
        <v>48</v>
      </c>
      <c r="L16" s="1" t="s">
        <v>48</v>
      </c>
      <c r="M16" s="1" t="s">
        <v>16</v>
      </c>
    </row>
    <row r="17" spans="1:13" x14ac:dyDescent="0.35">
      <c r="A17" s="5" t="s">
        <v>33</v>
      </c>
      <c r="B17" s="28" t="s">
        <v>39</v>
      </c>
      <c r="C17" s="1" t="s">
        <v>27</v>
      </c>
      <c r="D17" s="1">
        <v>10</v>
      </c>
      <c r="E17" s="10" t="s">
        <v>40</v>
      </c>
      <c r="F17" s="13" t="s">
        <v>93</v>
      </c>
      <c r="G17" s="14" t="s">
        <v>23</v>
      </c>
      <c r="H17" s="32" t="s">
        <v>93</v>
      </c>
      <c r="I17" s="14" t="s">
        <v>23</v>
      </c>
      <c r="J17" t="s">
        <v>106</v>
      </c>
      <c r="K17" t="s">
        <v>107</v>
      </c>
      <c r="L17" s="1" t="s">
        <v>48</v>
      </c>
      <c r="M17" s="1" t="s">
        <v>16</v>
      </c>
    </row>
    <row r="18" spans="1:13" x14ac:dyDescent="0.35">
      <c r="A18" s="5" t="s">
        <v>33</v>
      </c>
      <c r="B18" s="28" t="s">
        <v>41</v>
      </c>
      <c r="C18" s="1" t="s">
        <v>42</v>
      </c>
      <c r="D18" s="1">
        <v>10</v>
      </c>
      <c r="E18" s="10" t="s">
        <v>43</v>
      </c>
      <c r="F18" s="13" t="s">
        <v>93</v>
      </c>
      <c r="G18" s="14" t="s">
        <v>23</v>
      </c>
      <c r="H18" s="32" t="s">
        <v>93</v>
      </c>
      <c r="I18" s="14" t="s">
        <v>23</v>
      </c>
      <c r="J18" t="s">
        <v>108</v>
      </c>
      <c r="K18" t="s">
        <v>49</v>
      </c>
      <c r="L18" s="1" t="s">
        <v>49</v>
      </c>
      <c r="M18" s="1" t="s">
        <v>31</v>
      </c>
    </row>
    <row r="19" spans="1:13" x14ac:dyDescent="0.35">
      <c r="A19" s="5" t="s">
        <v>33</v>
      </c>
      <c r="B19" s="28" t="s">
        <v>44</v>
      </c>
      <c r="C19" s="1" t="s">
        <v>45</v>
      </c>
      <c r="D19" s="1">
        <v>10</v>
      </c>
      <c r="E19" s="10" t="s">
        <v>46</v>
      </c>
      <c r="F19" s="13" t="s">
        <v>93</v>
      </c>
      <c r="G19" s="14" t="s">
        <v>23</v>
      </c>
      <c r="H19" s="32" t="s">
        <v>93</v>
      </c>
      <c r="I19" s="14" t="s">
        <v>23</v>
      </c>
      <c r="J19" t="s">
        <v>109</v>
      </c>
      <c r="K19" t="s">
        <v>50</v>
      </c>
      <c r="L19" s="1" t="s">
        <v>50</v>
      </c>
      <c r="M19" s="1" t="s">
        <v>31</v>
      </c>
    </row>
    <row r="20" spans="1:13" x14ac:dyDescent="0.35">
      <c r="A20" s="5" t="s">
        <v>33</v>
      </c>
      <c r="B20" s="28" t="s">
        <v>85</v>
      </c>
      <c r="C20" s="1"/>
      <c r="D20" s="1">
        <v>10</v>
      </c>
      <c r="E20" s="10">
        <v>479</v>
      </c>
      <c r="F20" s="13" t="s">
        <v>93</v>
      </c>
      <c r="G20" s="14" t="s">
        <v>23</v>
      </c>
      <c r="H20" s="32" t="b">
        <v>0</v>
      </c>
      <c r="I20" s="14" t="s">
        <v>25</v>
      </c>
      <c r="J20" t="s">
        <v>148</v>
      </c>
      <c r="K20" t="s">
        <v>133</v>
      </c>
      <c r="L20" t="s">
        <v>82</v>
      </c>
      <c r="M20" t="s">
        <v>20</v>
      </c>
    </row>
    <row r="21" spans="1:13" x14ac:dyDescent="0.35">
      <c r="A21" s="5" t="s">
        <v>33</v>
      </c>
      <c r="B21" s="28" t="s">
        <v>149</v>
      </c>
      <c r="C21" s="1"/>
      <c r="D21" s="1">
        <v>11</v>
      </c>
      <c r="E21" s="10">
        <v>26</v>
      </c>
      <c r="F21" s="13" t="s">
        <v>93</v>
      </c>
      <c r="G21" s="14" t="s">
        <v>23</v>
      </c>
      <c r="H21" s="32" t="b">
        <v>0</v>
      </c>
      <c r="I21" s="14" t="s">
        <v>25</v>
      </c>
      <c r="J21" t="s">
        <v>150</v>
      </c>
      <c r="K21" t="s">
        <v>151</v>
      </c>
      <c r="L21" t="s">
        <v>152</v>
      </c>
      <c r="M21" t="s">
        <v>31</v>
      </c>
    </row>
    <row r="22" spans="1:13" x14ac:dyDescent="0.35">
      <c r="A22" t="s">
        <v>33</v>
      </c>
      <c r="B22" s="28" t="s">
        <v>113</v>
      </c>
      <c r="C22" t="s">
        <v>42</v>
      </c>
      <c r="D22">
        <v>11</v>
      </c>
      <c r="E22" s="6" t="s">
        <v>111</v>
      </c>
      <c r="F22" s="13" t="s">
        <v>93</v>
      </c>
      <c r="G22" s="14" t="s">
        <v>23</v>
      </c>
      <c r="H22" s="32" t="s">
        <v>93</v>
      </c>
      <c r="I22" s="14" t="s">
        <v>23</v>
      </c>
      <c r="J22" t="s">
        <v>48</v>
      </c>
      <c r="K22" t="s">
        <v>112</v>
      </c>
      <c r="L22" t="s">
        <v>48</v>
      </c>
      <c r="M22" t="s">
        <v>16</v>
      </c>
    </row>
    <row r="23" spans="1:13" x14ac:dyDescent="0.35">
      <c r="A23" s="5" t="s">
        <v>33</v>
      </c>
      <c r="B23" s="28" t="s">
        <v>153</v>
      </c>
      <c r="C23" t="s">
        <v>58</v>
      </c>
      <c r="D23">
        <v>11</v>
      </c>
      <c r="E23" s="6">
        <v>227</v>
      </c>
      <c r="F23" s="13" t="s">
        <v>93</v>
      </c>
      <c r="G23" s="14" t="s">
        <v>23</v>
      </c>
      <c r="H23" s="32" t="s">
        <v>93</v>
      </c>
      <c r="I23" s="14" t="s">
        <v>23</v>
      </c>
      <c r="J23" t="s">
        <v>112</v>
      </c>
      <c r="K23" t="s">
        <v>105</v>
      </c>
      <c r="L23" t="s">
        <v>48</v>
      </c>
      <c r="M23" t="s">
        <v>16</v>
      </c>
    </row>
    <row r="24" spans="1:13" x14ac:dyDescent="0.35">
      <c r="A24" s="5" t="s">
        <v>54</v>
      </c>
      <c r="B24" s="28" t="s">
        <v>55</v>
      </c>
      <c r="C24" s="1" t="s">
        <v>29</v>
      </c>
      <c r="D24" s="1">
        <v>40</v>
      </c>
      <c r="E24" s="10">
        <v>26</v>
      </c>
      <c r="F24" s="14" t="b">
        <v>0</v>
      </c>
      <c r="G24" s="14" t="s">
        <v>25</v>
      </c>
      <c r="H24" s="32" t="s">
        <v>93</v>
      </c>
      <c r="I24" s="14" t="s">
        <v>23</v>
      </c>
      <c r="J24" t="s">
        <v>115</v>
      </c>
      <c r="K24" t="s">
        <v>116</v>
      </c>
      <c r="L24" s="1" t="s">
        <v>47</v>
      </c>
      <c r="M24" s="2" t="s">
        <v>16</v>
      </c>
    </row>
    <row r="25" spans="1:13" x14ac:dyDescent="0.35">
      <c r="A25" s="5" t="s">
        <v>54</v>
      </c>
      <c r="B25" s="28" t="s">
        <v>154</v>
      </c>
      <c r="C25" s="1"/>
      <c r="D25" s="1">
        <v>40</v>
      </c>
      <c r="E25" s="10">
        <v>198</v>
      </c>
      <c r="F25" s="13" t="s">
        <v>93</v>
      </c>
      <c r="G25" s="14" t="s">
        <v>23</v>
      </c>
      <c r="H25" s="32" t="b">
        <v>0</v>
      </c>
      <c r="I25" s="14" t="s">
        <v>25</v>
      </c>
      <c r="J25" s="16" t="s">
        <v>156</v>
      </c>
      <c r="K25" s="16" t="s">
        <v>157</v>
      </c>
      <c r="L25" s="16" t="s">
        <v>157</v>
      </c>
      <c r="M25" s="16" t="s">
        <v>121</v>
      </c>
    </row>
    <row r="26" spans="1:13" x14ac:dyDescent="0.35">
      <c r="A26" s="5" t="s">
        <v>54</v>
      </c>
      <c r="B26" s="28" t="s">
        <v>155</v>
      </c>
      <c r="C26" s="1"/>
      <c r="D26" s="1">
        <v>40</v>
      </c>
      <c r="E26" s="10">
        <v>201</v>
      </c>
      <c r="F26" s="13" t="s">
        <v>93</v>
      </c>
      <c r="G26" s="14" t="s">
        <v>23</v>
      </c>
      <c r="H26" s="32" t="b">
        <v>0</v>
      </c>
      <c r="I26" s="14" t="s">
        <v>25</v>
      </c>
      <c r="J26" s="16" t="s">
        <v>158</v>
      </c>
      <c r="K26" s="16" t="s">
        <v>159</v>
      </c>
      <c r="L26" s="19" t="s">
        <v>160</v>
      </c>
      <c r="M26" s="15" t="s">
        <v>20</v>
      </c>
    </row>
    <row r="27" spans="1:13" x14ac:dyDescent="0.35">
      <c r="A27" s="5" t="s">
        <v>54</v>
      </c>
      <c r="B27" s="28" t="s">
        <v>161</v>
      </c>
      <c r="C27" s="1"/>
      <c r="D27" s="1">
        <v>40</v>
      </c>
      <c r="E27" s="10">
        <v>274</v>
      </c>
      <c r="F27" s="13" t="s">
        <v>93</v>
      </c>
      <c r="G27" s="14" t="s">
        <v>23</v>
      </c>
      <c r="H27" s="32" t="b">
        <v>0</v>
      </c>
      <c r="I27" s="14" t="s">
        <v>25</v>
      </c>
      <c r="J27" s="16" t="s">
        <v>165</v>
      </c>
      <c r="K27" s="16" t="s">
        <v>166</v>
      </c>
      <c r="L27" s="16" t="s">
        <v>166</v>
      </c>
      <c r="M27" s="16" t="s">
        <v>121</v>
      </c>
    </row>
    <row r="28" spans="1:13" x14ac:dyDescent="0.35">
      <c r="A28" s="5" t="s">
        <v>54</v>
      </c>
      <c r="B28" s="28" t="s">
        <v>162</v>
      </c>
      <c r="C28" s="1"/>
      <c r="D28" s="1">
        <v>40</v>
      </c>
      <c r="E28" s="10">
        <v>450</v>
      </c>
      <c r="F28" s="13" t="s">
        <v>93</v>
      </c>
      <c r="G28" s="14" t="s">
        <v>23</v>
      </c>
      <c r="H28" s="32" t="b">
        <v>0</v>
      </c>
      <c r="I28" s="14" t="s">
        <v>25</v>
      </c>
      <c r="J28" s="16" t="s">
        <v>167</v>
      </c>
      <c r="K28" s="16" t="s">
        <v>168</v>
      </c>
      <c r="L28" s="15" t="s">
        <v>167</v>
      </c>
      <c r="M28" s="15" t="s">
        <v>31</v>
      </c>
    </row>
    <row r="29" spans="1:13" x14ac:dyDescent="0.35">
      <c r="A29" s="11" t="s">
        <v>54</v>
      </c>
      <c r="B29" s="30" t="s">
        <v>91</v>
      </c>
      <c r="C29" s="12" t="s">
        <v>42</v>
      </c>
      <c r="D29" s="12">
        <v>41</v>
      </c>
      <c r="E29" s="20">
        <v>229</v>
      </c>
      <c r="F29" s="13" t="s">
        <v>93</v>
      </c>
      <c r="G29" s="14" t="s">
        <v>23</v>
      </c>
      <c r="H29" s="32" t="s">
        <v>93</v>
      </c>
      <c r="I29" s="14" t="s">
        <v>23</v>
      </c>
      <c r="J29" s="15" t="s">
        <v>118</v>
      </c>
      <c r="K29" s="15" t="s">
        <v>117</v>
      </c>
      <c r="L29" s="17" t="s">
        <v>92</v>
      </c>
      <c r="M29" s="18" t="s">
        <v>31</v>
      </c>
    </row>
    <row r="30" spans="1:13" x14ac:dyDescent="0.35">
      <c r="A30" s="11" t="s">
        <v>54</v>
      </c>
      <c r="B30" s="30" t="s">
        <v>164</v>
      </c>
      <c r="C30" s="12"/>
      <c r="D30" s="12">
        <v>41</v>
      </c>
      <c r="E30" s="20">
        <v>270</v>
      </c>
      <c r="F30" s="13" t="s">
        <v>93</v>
      </c>
      <c r="G30" s="14" t="s">
        <v>23</v>
      </c>
      <c r="H30" s="32" t="b">
        <v>0</v>
      </c>
      <c r="I30" s="14" t="s">
        <v>25</v>
      </c>
      <c r="J30" s="16" t="s">
        <v>172</v>
      </c>
      <c r="K30" s="16" t="s">
        <v>173</v>
      </c>
      <c r="L30" s="16" t="s">
        <v>173</v>
      </c>
      <c r="M30" s="16" t="s">
        <v>121</v>
      </c>
    </row>
    <row r="33" spans="1:8" x14ac:dyDescent="0.35">
      <c r="A33" t="s">
        <v>208</v>
      </c>
      <c r="B33" s="31">
        <f>SUM(B34:B38)</f>
        <v>4020</v>
      </c>
    </row>
    <row r="34" spans="1:8" x14ac:dyDescent="0.35">
      <c r="A34" t="s">
        <v>209</v>
      </c>
      <c r="B34" s="31">
        <v>804</v>
      </c>
    </row>
    <row r="35" spans="1:8" x14ac:dyDescent="0.35">
      <c r="A35" t="s">
        <v>210</v>
      </c>
      <c r="B35" s="31">
        <v>804</v>
      </c>
      <c r="G35" t="s">
        <v>200</v>
      </c>
      <c r="H35" s="31" t="s">
        <v>201</v>
      </c>
    </row>
    <row r="36" spans="1:8" x14ac:dyDescent="0.35">
      <c r="A36" t="s">
        <v>211</v>
      </c>
      <c r="B36" s="31">
        <v>804</v>
      </c>
      <c r="F36" s="13" t="s">
        <v>93</v>
      </c>
      <c r="G36">
        <f>COUNTIF(F2:F30, F36)</f>
        <v>27</v>
      </c>
      <c r="H36" s="31">
        <f>COUNTIF(H2:H30, F36)</f>
        <v>13</v>
      </c>
    </row>
    <row r="37" spans="1:8" x14ac:dyDescent="0.35">
      <c r="A37" t="s">
        <v>212</v>
      </c>
      <c r="B37" s="31">
        <v>804</v>
      </c>
      <c r="F37" s="13" t="b">
        <v>0</v>
      </c>
      <c r="G37">
        <f>COUNTIF(F2:F30, F37)</f>
        <v>2</v>
      </c>
      <c r="H37" s="31">
        <f>COUNTIF(H2:H30, F37)</f>
        <v>16</v>
      </c>
    </row>
    <row r="38" spans="1:8" x14ac:dyDescent="0.35">
      <c r="A38" t="s">
        <v>213</v>
      </c>
      <c r="B38" s="31">
        <v>804</v>
      </c>
      <c r="F38" s="14" t="s">
        <v>23</v>
      </c>
      <c r="G38">
        <f>COUNTIF(G2:G30, F38)</f>
        <v>27</v>
      </c>
      <c r="H38" s="31">
        <f>COUNTIF(I2:I30, F38)</f>
        <v>13</v>
      </c>
    </row>
    <row r="39" spans="1:8" x14ac:dyDescent="0.35">
      <c r="F39" s="14" t="s">
        <v>95</v>
      </c>
      <c r="G39">
        <f>COUNTIF(G2:G30, F39)</f>
        <v>0</v>
      </c>
      <c r="H39" s="31">
        <f>COUNTIF(I2:I30, F39)</f>
        <v>0</v>
      </c>
    </row>
    <row r="40" spans="1:8" x14ac:dyDescent="0.35">
      <c r="F40" s="14" t="s">
        <v>96</v>
      </c>
      <c r="G40">
        <f>COUNTIF(G2:G30, F40)</f>
        <v>0</v>
      </c>
      <c r="H40" s="31">
        <f>COUNTIF(I2:I30, F40)</f>
        <v>0</v>
      </c>
    </row>
    <row r="41" spans="1:8" x14ac:dyDescent="0.35">
      <c r="F41" s="14" t="s">
        <v>25</v>
      </c>
      <c r="G41">
        <f>COUNTIF(G2:G30, F41)</f>
        <v>2</v>
      </c>
      <c r="H41" s="31">
        <f>COUNTIF(I2:I30, F41)</f>
        <v>16</v>
      </c>
    </row>
    <row r="43" spans="1:8" x14ac:dyDescent="0.35">
      <c r="F43" s="14" t="s">
        <v>202</v>
      </c>
      <c r="G43">
        <f>SUM(G36, G37)</f>
        <v>29</v>
      </c>
      <c r="H43" s="31">
        <f>SUM(H36:H37)</f>
        <v>29</v>
      </c>
    </row>
    <row r="44" spans="1:8" x14ac:dyDescent="0.35">
      <c r="F44" s="14" t="s">
        <v>203</v>
      </c>
      <c r="G44">
        <f>SUM(G38, G39, G40, G41)</f>
        <v>29</v>
      </c>
      <c r="H44" s="31">
        <f>SUM(H38:H41)</f>
        <v>29</v>
      </c>
    </row>
    <row r="46" spans="1:8" x14ac:dyDescent="0.35">
      <c r="A46" t="s">
        <v>221</v>
      </c>
      <c r="F46" s="14" t="s">
        <v>204</v>
      </c>
      <c r="G46" s="24">
        <f>G38/(G38+G41)</f>
        <v>0.93103448275862066</v>
      </c>
      <c r="H46" s="33">
        <f>H38/(H38+H41)</f>
        <v>0.44827586206896552</v>
      </c>
    </row>
    <row r="47" spans="1:8" x14ac:dyDescent="0.35">
      <c r="A47" t="s">
        <v>207</v>
      </c>
      <c r="F47" s="14" t="s">
        <v>205</v>
      </c>
      <c r="G47" s="24">
        <f>G38/(G38+G40)</f>
        <v>1</v>
      </c>
      <c r="H47" s="33">
        <f>H38/(H38+H40)</f>
        <v>1</v>
      </c>
    </row>
    <row r="49" spans="1:8" x14ac:dyDescent="0.35">
      <c r="A49" t="s">
        <v>214</v>
      </c>
      <c r="F49" s="14" t="s">
        <v>206</v>
      </c>
      <c r="G49" s="24">
        <f>G36/B33</f>
        <v>6.7164179104477612E-3</v>
      </c>
      <c r="H49" s="33">
        <f>H36/B33</f>
        <v>3.2338308457711441E-3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1C35-1537-4D82-99FA-2D3B33EB52B1}">
  <dimension ref="A1:M57"/>
  <sheetViews>
    <sheetView workbookViewId="0">
      <selection activeCell="M1" sqref="M1"/>
    </sheetView>
  </sheetViews>
  <sheetFormatPr defaultRowHeight="14.5" x14ac:dyDescent="0.35"/>
  <cols>
    <col min="2" max="2" width="9.26953125" style="31" customWidth="1"/>
    <col min="3" max="3" width="6.36328125" customWidth="1"/>
    <col min="4" max="4" width="7.26953125" customWidth="1"/>
    <col min="5" max="5" width="7.1796875" customWidth="1"/>
    <col min="6" max="6" width="12.1796875" customWidth="1"/>
    <col min="7" max="7" width="16.26953125" style="14" customWidth="1"/>
    <col min="8" max="8" width="15.90625" style="14" customWidth="1"/>
    <col min="9" max="9" width="18.90625" style="14" customWidth="1"/>
    <col min="10" max="10" width="11.81640625" customWidth="1"/>
    <col min="11" max="11" width="10.26953125" customWidth="1"/>
    <col min="12" max="12" width="17.90625" customWidth="1"/>
    <col min="13" max="13" width="14.7265625" customWidth="1"/>
  </cols>
  <sheetData>
    <row r="1" spans="1:13" x14ac:dyDescent="0.35">
      <c r="A1" s="4" t="s">
        <v>0</v>
      </c>
      <c r="B1" s="29" t="s">
        <v>1</v>
      </c>
      <c r="C1" s="4" t="s">
        <v>231</v>
      </c>
      <c r="D1" s="4" t="s">
        <v>3</v>
      </c>
      <c r="E1" s="4" t="s">
        <v>4</v>
      </c>
      <c r="F1" s="4" t="s">
        <v>5</v>
      </c>
      <c r="G1" s="36" t="s">
        <v>6</v>
      </c>
      <c r="H1" s="36" t="s">
        <v>56</v>
      </c>
      <c r="I1" s="36" t="s">
        <v>57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s="1" t="s">
        <v>12</v>
      </c>
      <c r="B2" s="28" t="s">
        <v>13</v>
      </c>
      <c r="C2" s="1" t="s">
        <v>58</v>
      </c>
      <c r="D2" s="1">
        <v>24</v>
      </c>
      <c r="E2" s="10">
        <v>52</v>
      </c>
      <c r="F2" s="13" t="s">
        <v>93</v>
      </c>
      <c r="G2" s="13" t="s">
        <v>23</v>
      </c>
      <c r="H2" s="13" t="s">
        <v>93</v>
      </c>
      <c r="I2" s="13" t="s">
        <v>23</v>
      </c>
      <c r="J2" s="1" t="s">
        <v>100</v>
      </c>
      <c r="K2" s="1" t="s">
        <v>101</v>
      </c>
      <c r="L2" s="1" t="s">
        <v>15</v>
      </c>
      <c r="M2" s="1" t="s">
        <v>16</v>
      </c>
    </row>
    <row r="3" spans="1:13" x14ac:dyDescent="0.35">
      <c r="A3" s="1" t="s">
        <v>12</v>
      </c>
      <c r="B3" s="28" t="s">
        <v>24</v>
      </c>
      <c r="C3" s="1" t="s">
        <v>29</v>
      </c>
      <c r="D3" s="1">
        <v>24</v>
      </c>
      <c r="E3" s="10">
        <v>57</v>
      </c>
      <c r="F3" s="13" t="s">
        <v>93</v>
      </c>
      <c r="G3" s="13" t="s">
        <v>23</v>
      </c>
      <c r="H3" s="13" t="s">
        <v>93</v>
      </c>
      <c r="I3" s="14" t="s">
        <v>23</v>
      </c>
      <c r="J3" t="s">
        <v>119</v>
      </c>
      <c r="K3" t="s">
        <v>120</v>
      </c>
      <c r="L3" t="s">
        <v>120</v>
      </c>
      <c r="M3" t="s">
        <v>121</v>
      </c>
    </row>
    <row r="4" spans="1:13" x14ac:dyDescent="0.35">
      <c r="A4" s="1" t="s">
        <v>12</v>
      </c>
      <c r="B4" s="28" t="s">
        <v>17</v>
      </c>
      <c r="C4" s="1" t="s">
        <v>59</v>
      </c>
      <c r="D4" s="1">
        <v>24</v>
      </c>
      <c r="E4" s="10">
        <v>154</v>
      </c>
      <c r="F4" s="13" t="s">
        <v>93</v>
      </c>
      <c r="G4" s="13" t="s">
        <v>23</v>
      </c>
      <c r="H4" s="13" t="s">
        <v>93</v>
      </c>
      <c r="I4" s="13" t="s">
        <v>23</v>
      </c>
      <c r="J4" s="1" t="s">
        <v>102</v>
      </c>
      <c r="K4" s="1" t="s">
        <v>103</v>
      </c>
      <c r="L4" s="1" t="s">
        <v>19</v>
      </c>
      <c r="M4" s="1" t="s">
        <v>20</v>
      </c>
    </row>
    <row r="5" spans="1:13" x14ac:dyDescent="0.35">
      <c r="A5" s="1" t="s">
        <v>12</v>
      </c>
      <c r="B5" s="28" t="s">
        <v>21</v>
      </c>
      <c r="C5" s="1" t="s">
        <v>18</v>
      </c>
      <c r="D5" s="1">
        <v>24</v>
      </c>
      <c r="E5" s="10">
        <v>183</v>
      </c>
      <c r="F5" s="13" t="s">
        <v>93</v>
      </c>
      <c r="G5" s="13" t="s">
        <v>23</v>
      </c>
      <c r="H5" s="13" t="s">
        <v>93</v>
      </c>
      <c r="I5" s="13" t="s">
        <v>23</v>
      </c>
      <c r="J5" s="1" t="s">
        <v>102</v>
      </c>
      <c r="K5" s="1" t="s">
        <v>103</v>
      </c>
      <c r="L5" s="1" t="s">
        <v>19</v>
      </c>
      <c r="M5" s="1" t="s">
        <v>20</v>
      </c>
    </row>
    <row r="6" spans="1:13" x14ac:dyDescent="0.35">
      <c r="A6" s="1" t="s">
        <v>12</v>
      </c>
      <c r="B6" s="28" t="s">
        <v>60</v>
      </c>
      <c r="C6" s="1" t="s">
        <v>29</v>
      </c>
      <c r="D6" s="1">
        <v>24</v>
      </c>
      <c r="E6" s="10">
        <v>230</v>
      </c>
      <c r="F6" s="14" t="b">
        <v>0</v>
      </c>
      <c r="G6" s="14" t="s">
        <v>25</v>
      </c>
      <c r="H6" s="13" t="s">
        <v>93</v>
      </c>
      <c r="I6" s="14" t="s">
        <v>23</v>
      </c>
      <c r="J6" t="s">
        <v>179</v>
      </c>
      <c r="K6" t="s">
        <v>180</v>
      </c>
      <c r="L6" s="1" t="s">
        <v>66</v>
      </c>
      <c r="M6" s="1" t="s">
        <v>16</v>
      </c>
    </row>
    <row r="7" spans="1:13" x14ac:dyDescent="0.35">
      <c r="A7" s="1" t="s">
        <v>12</v>
      </c>
      <c r="B7" s="28" t="s">
        <v>61</v>
      </c>
      <c r="C7" s="1" t="s">
        <v>62</v>
      </c>
      <c r="D7" s="1">
        <v>24</v>
      </c>
      <c r="E7" s="10">
        <v>258</v>
      </c>
      <c r="F7" s="14" t="b">
        <v>0</v>
      </c>
      <c r="G7" s="14" t="s">
        <v>25</v>
      </c>
      <c r="H7" s="13" t="s">
        <v>93</v>
      </c>
      <c r="I7" s="14" t="s">
        <v>23</v>
      </c>
      <c r="J7" t="s">
        <v>177</v>
      </c>
      <c r="K7" t="s">
        <v>181</v>
      </c>
      <c r="L7" s="1" t="s">
        <v>67</v>
      </c>
      <c r="M7" s="1" t="s">
        <v>31</v>
      </c>
    </row>
    <row r="8" spans="1:13" x14ac:dyDescent="0.35">
      <c r="A8" s="1" t="s">
        <v>12</v>
      </c>
      <c r="B8" s="28" t="s">
        <v>80</v>
      </c>
      <c r="C8" s="1"/>
      <c r="D8" s="1">
        <v>24</v>
      </c>
      <c r="E8" s="10">
        <v>483</v>
      </c>
      <c r="F8" s="13" t="s">
        <v>93</v>
      </c>
      <c r="G8" s="13" t="s">
        <v>23</v>
      </c>
      <c r="H8" s="13" t="b">
        <v>0</v>
      </c>
      <c r="I8" s="13" t="s">
        <v>25</v>
      </c>
      <c r="J8" t="s">
        <v>132</v>
      </c>
      <c r="K8" t="s">
        <v>133</v>
      </c>
      <c r="L8" t="s">
        <v>82</v>
      </c>
      <c r="M8" t="s">
        <v>20</v>
      </c>
    </row>
    <row r="9" spans="1:13" x14ac:dyDescent="0.35">
      <c r="A9" s="1" t="s">
        <v>12</v>
      </c>
      <c r="B9" s="28" t="s">
        <v>63</v>
      </c>
      <c r="C9" s="1" t="s">
        <v>27</v>
      </c>
      <c r="D9" s="1">
        <v>24</v>
      </c>
      <c r="E9" s="10">
        <v>510</v>
      </c>
      <c r="F9" s="14" t="b">
        <v>0</v>
      </c>
      <c r="G9" s="14" t="s">
        <v>25</v>
      </c>
      <c r="H9" s="13" t="s">
        <v>93</v>
      </c>
      <c r="I9" s="14" t="s">
        <v>23</v>
      </c>
      <c r="J9" t="s">
        <v>182</v>
      </c>
      <c r="K9" t="s">
        <v>183</v>
      </c>
      <c r="L9" s="1" t="s">
        <v>68</v>
      </c>
      <c r="M9" s="1" t="s">
        <v>31</v>
      </c>
    </row>
    <row r="10" spans="1:13" x14ac:dyDescent="0.35">
      <c r="A10" s="1" t="s">
        <v>12</v>
      </c>
      <c r="B10" s="28" t="s">
        <v>64</v>
      </c>
      <c r="C10" s="1" t="s">
        <v>59</v>
      </c>
      <c r="D10" s="1">
        <v>24</v>
      </c>
      <c r="E10" s="10">
        <v>688</v>
      </c>
      <c r="F10" s="13" t="s">
        <v>93</v>
      </c>
      <c r="G10" s="13" t="s">
        <v>23</v>
      </c>
      <c r="H10" s="13" t="s">
        <v>93</v>
      </c>
      <c r="I10" s="14" t="s">
        <v>23</v>
      </c>
      <c r="J10" t="s">
        <v>134</v>
      </c>
      <c r="K10" t="s">
        <v>135</v>
      </c>
      <c r="L10" t="s">
        <v>69</v>
      </c>
      <c r="M10" t="s">
        <v>20</v>
      </c>
    </row>
    <row r="11" spans="1:13" x14ac:dyDescent="0.35">
      <c r="A11" s="1" t="s">
        <v>12</v>
      </c>
      <c r="B11" s="28" t="s">
        <v>65</v>
      </c>
      <c r="C11" s="1" t="s">
        <v>59</v>
      </c>
      <c r="D11" s="1">
        <v>24</v>
      </c>
      <c r="E11" s="10">
        <v>772</v>
      </c>
      <c r="F11" s="14" t="b">
        <v>0</v>
      </c>
      <c r="G11" s="14" t="s">
        <v>95</v>
      </c>
      <c r="H11" s="13" t="s">
        <v>93</v>
      </c>
      <c r="I11" s="14" t="s">
        <v>96</v>
      </c>
      <c r="J11" t="s">
        <v>184</v>
      </c>
      <c r="K11" t="s">
        <v>185</v>
      </c>
      <c r="L11" s="1" t="s">
        <v>70</v>
      </c>
      <c r="M11" s="1" t="s">
        <v>16</v>
      </c>
    </row>
    <row r="12" spans="1:13" x14ac:dyDescent="0.35">
      <c r="A12" s="1" t="s">
        <v>26</v>
      </c>
      <c r="B12" s="28" t="s">
        <v>71</v>
      </c>
      <c r="C12" s="1" t="s">
        <v>37</v>
      </c>
      <c r="D12" s="1">
        <v>1</v>
      </c>
      <c r="E12" s="10">
        <v>41</v>
      </c>
      <c r="F12" s="13" t="s">
        <v>93</v>
      </c>
      <c r="G12" s="13" t="s">
        <v>23</v>
      </c>
      <c r="H12" s="13" t="s">
        <v>93</v>
      </c>
      <c r="I12" s="14" t="s">
        <v>23</v>
      </c>
      <c r="J12" t="s">
        <v>136</v>
      </c>
      <c r="K12" t="s">
        <v>137</v>
      </c>
      <c r="L12" s="1" t="s">
        <v>72</v>
      </c>
      <c r="M12" s="1" t="s">
        <v>31</v>
      </c>
    </row>
    <row r="13" spans="1:13" x14ac:dyDescent="0.35">
      <c r="A13" s="1" t="s">
        <v>26</v>
      </c>
      <c r="B13" s="28" t="s">
        <v>138</v>
      </c>
      <c r="C13" s="1"/>
      <c r="D13" s="1">
        <v>1</v>
      </c>
      <c r="E13" s="10">
        <v>135</v>
      </c>
      <c r="F13" s="13" t="s">
        <v>93</v>
      </c>
      <c r="G13" s="13" t="s">
        <v>23</v>
      </c>
      <c r="H13" s="13" t="b">
        <v>0</v>
      </c>
      <c r="I13" s="13" t="s">
        <v>25</v>
      </c>
      <c r="J13" t="s">
        <v>139</v>
      </c>
      <c r="K13" t="s">
        <v>140</v>
      </c>
      <c r="L13" t="s">
        <v>141</v>
      </c>
      <c r="M13" t="s">
        <v>121</v>
      </c>
    </row>
    <row r="14" spans="1:13" x14ac:dyDescent="0.35">
      <c r="A14" s="1" t="s">
        <v>26</v>
      </c>
      <c r="B14" s="28" t="s">
        <v>28</v>
      </c>
      <c r="C14" s="1" t="s">
        <v>27</v>
      </c>
      <c r="D14" s="1">
        <v>1</v>
      </c>
      <c r="E14" s="10">
        <v>297</v>
      </c>
      <c r="F14" s="13" t="s">
        <v>93</v>
      </c>
      <c r="G14" s="13" t="s">
        <v>23</v>
      </c>
      <c r="H14" s="13" t="s">
        <v>93</v>
      </c>
      <c r="I14" s="14" t="s">
        <v>23</v>
      </c>
      <c r="J14" t="s">
        <v>104</v>
      </c>
      <c r="K14" t="s">
        <v>32</v>
      </c>
      <c r="L14" s="1" t="s">
        <v>32</v>
      </c>
      <c r="M14" s="1" t="s">
        <v>31</v>
      </c>
    </row>
    <row r="15" spans="1:13" x14ac:dyDescent="0.35">
      <c r="A15" s="1" t="s">
        <v>26</v>
      </c>
      <c r="B15" s="28" t="s">
        <v>142</v>
      </c>
      <c r="C15" s="1"/>
      <c r="D15" s="1">
        <v>1</v>
      </c>
      <c r="E15" s="10">
        <v>336</v>
      </c>
      <c r="F15" s="13" t="s">
        <v>93</v>
      </c>
      <c r="G15" s="13" t="s">
        <v>23</v>
      </c>
      <c r="H15" s="13" t="b">
        <v>0</v>
      </c>
      <c r="I15" s="13" t="s">
        <v>25</v>
      </c>
      <c r="J15" t="s">
        <v>143</v>
      </c>
      <c r="K15" t="s">
        <v>144</v>
      </c>
      <c r="L15" t="s">
        <v>145</v>
      </c>
      <c r="M15" t="s">
        <v>16</v>
      </c>
    </row>
    <row r="16" spans="1:13" x14ac:dyDescent="0.35">
      <c r="A16" s="1" t="s">
        <v>26</v>
      </c>
      <c r="B16" s="28" t="s">
        <v>83</v>
      </c>
      <c r="C16" s="1"/>
      <c r="D16" s="1">
        <v>1</v>
      </c>
      <c r="E16" s="10">
        <v>583</v>
      </c>
      <c r="F16" s="13" t="s">
        <v>93</v>
      </c>
      <c r="G16" s="13" t="s">
        <v>23</v>
      </c>
      <c r="H16" s="13" t="b">
        <v>0</v>
      </c>
      <c r="I16" s="13" t="s">
        <v>25</v>
      </c>
      <c r="J16" t="s">
        <v>146</v>
      </c>
      <c r="K16" t="s">
        <v>147</v>
      </c>
      <c r="L16" s="1" t="s">
        <v>84</v>
      </c>
      <c r="M16" s="2" t="s">
        <v>20</v>
      </c>
    </row>
    <row r="17" spans="1:13" x14ac:dyDescent="0.35">
      <c r="A17" s="1" t="s">
        <v>33</v>
      </c>
      <c r="B17" s="28" t="s">
        <v>34</v>
      </c>
      <c r="C17" s="1" t="s">
        <v>27</v>
      </c>
      <c r="D17" s="1">
        <v>10</v>
      </c>
      <c r="E17" s="10" t="s">
        <v>35</v>
      </c>
      <c r="F17" s="14" t="b">
        <v>0</v>
      </c>
      <c r="G17" s="14" t="s">
        <v>25</v>
      </c>
      <c r="H17" s="13" t="s">
        <v>93</v>
      </c>
      <c r="I17" s="14" t="s">
        <v>23</v>
      </c>
      <c r="J17" t="s">
        <v>94</v>
      </c>
      <c r="K17" t="s">
        <v>97</v>
      </c>
      <c r="L17" s="1" t="s">
        <v>47</v>
      </c>
      <c r="M17" s="1" t="s">
        <v>16</v>
      </c>
    </row>
    <row r="18" spans="1:13" x14ac:dyDescent="0.35">
      <c r="A18" s="1" t="s">
        <v>33</v>
      </c>
      <c r="B18" s="28" t="s">
        <v>36</v>
      </c>
      <c r="C18" s="1" t="s">
        <v>29</v>
      </c>
      <c r="D18" s="1">
        <v>10</v>
      </c>
      <c r="E18" s="10" t="s">
        <v>38</v>
      </c>
      <c r="F18" s="13" t="s">
        <v>93</v>
      </c>
      <c r="G18" s="13" t="s">
        <v>23</v>
      </c>
      <c r="H18" s="13" t="s">
        <v>93</v>
      </c>
      <c r="I18" s="14" t="s">
        <v>23</v>
      </c>
      <c r="J18" t="s">
        <v>105</v>
      </c>
      <c r="K18" t="s">
        <v>48</v>
      </c>
      <c r="L18" s="1" t="s">
        <v>48</v>
      </c>
      <c r="M18" s="1" t="s">
        <v>16</v>
      </c>
    </row>
    <row r="19" spans="1:13" x14ac:dyDescent="0.35">
      <c r="A19" s="1" t="s">
        <v>33</v>
      </c>
      <c r="B19" s="28" t="s">
        <v>39</v>
      </c>
      <c r="C19" s="1" t="s">
        <v>30</v>
      </c>
      <c r="D19" s="1">
        <v>10</v>
      </c>
      <c r="E19" s="10" t="s">
        <v>40</v>
      </c>
      <c r="F19" s="13" t="s">
        <v>93</v>
      </c>
      <c r="G19" s="13" t="s">
        <v>23</v>
      </c>
      <c r="H19" s="13" t="s">
        <v>93</v>
      </c>
      <c r="I19" s="14" t="s">
        <v>23</v>
      </c>
      <c r="J19" t="s">
        <v>106</v>
      </c>
      <c r="K19" t="s">
        <v>107</v>
      </c>
      <c r="L19" s="1" t="s">
        <v>48</v>
      </c>
      <c r="M19" s="1" t="s">
        <v>16</v>
      </c>
    </row>
    <row r="20" spans="1:13" x14ac:dyDescent="0.35">
      <c r="A20" s="1" t="s">
        <v>33</v>
      </c>
      <c r="B20" s="28" t="s">
        <v>41</v>
      </c>
      <c r="C20" s="1" t="s">
        <v>62</v>
      </c>
      <c r="D20" s="1">
        <v>10</v>
      </c>
      <c r="E20" s="10" t="s">
        <v>43</v>
      </c>
      <c r="F20" s="13" t="s">
        <v>93</v>
      </c>
      <c r="G20" s="13" t="s">
        <v>23</v>
      </c>
      <c r="H20" s="13" t="s">
        <v>93</v>
      </c>
      <c r="I20" s="14" t="s">
        <v>23</v>
      </c>
      <c r="J20" t="s">
        <v>108</v>
      </c>
      <c r="K20" t="s">
        <v>49</v>
      </c>
      <c r="L20" s="1" t="s">
        <v>49</v>
      </c>
      <c r="M20" s="1" t="s">
        <v>31</v>
      </c>
    </row>
    <row r="21" spans="1:13" x14ac:dyDescent="0.35">
      <c r="A21" s="1" t="s">
        <v>33</v>
      </c>
      <c r="B21" s="28" t="s">
        <v>44</v>
      </c>
      <c r="C21" s="1" t="s">
        <v>73</v>
      </c>
      <c r="D21" s="1">
        <v>10</v>
      </c>
      <c r="E21" s="10" t="s">
        <v>46</v>
      </c>
      <c r="F21" s="13" t="s">
        <v>93</v>
      </c>
      <c r="G21" s="13" t="s">
        <v>23</v>
      </c>
      <c r="H21" s="13" t="s">
        <v>93</v>
      </c>
      <c r="I21" s="14" t="s">
        <v>23</v>
      </c>
      <c r="J21" t="s">
        <v>109</v>
      </c>
      <c r="K21" t="s">
        <v>50</v>
      </c>
      <c r="L21" s="1" t="s">
        <v>50</v>
      </c>
      <c r="M21" s="1" t="s">
        <v>31</v>
      </c>
    </row>
    <row r="22" spans="1:13" x14ac:dyDescent="0.35">
      <c r="A22" s="1" t="s">
        <v>33</v>
      </c>
      <c r="B22" s="28" t="s">
        <v>85</v>
      </c>
      <c r="C22" s="1"/>
      <c r="D22" s="1">
        <v>10</v>
      </c>
      <c r="E22" s="10">
        <v>479</v>
      </c>
      <c r="F22" s="13" t="s">
        <v>93</v>
      </c>
      <c r="G22" s="13" t="s">
        <v>23</v>
      </c>
      <c r="H22" s="13" t="b">
        <v>0</v>
      </c>
      <c r="I22" s="13" t="s">
        <v>25</v>
      </c>
      <c r="J22" t="s">
        <v>148</v>
      </c>
      <c r="K22" t="s">
        <v>133</v>
      </c>
      <c r="L22" t="s">
        <v>82</v>
      </c>
      <c r="M22" t="s">
        <v>20</v>
      </c>
    </row>
    <row r="23" spans="1:13" x14ac:dyDescent="0.35">
      <c r="A23" s="1" t="s">
        <v>33</v>
      </c>
      <c r="B23" s="28" t="s">
        <v>149</v>
      </c>
      <c r="C23" s="1"/>
      <c r="D23" s="1">
        <v>11</v>
      </c>
      <c r="E23" s="10">
        <v>26</v>
      </c>
      <c r="F23" s="13" t="s">
        <v>93</v>
      </c>
      <c r="G23" s="13" t="s">
        <v>23</v>
      </c>
      <c r="H23" s="13" t="b">
        <v>0</v>
      </c>
      <c r="I23" s="13" t="s">
        <v>25</v>
      </c>
      <c r="J23" t="s">
        <v>150</v>
      </c>
      <c r="K23" t="s">
        <v>151</v>
      </c>
      <c r="L23" t="s">
        <v>152</v>
      </c>
      <c r="M23" t="s">
        <v>31</v>
      </c>
    </row>
    <row r="24" spans="1:13" x14ac:dyDescent="0.35">
      <c r="A24" t="s">
        <v>33</v>
      </c>
      <c r="B24" s="31" t="s">
        <v>110</v>
      </c>
      <c r="C24" t="s">
        <v>62</v>
      </c>
      <c r="D24">
        <v>11</v>
      </c>
      <c r="E24">
        <v>121</v>
      </c>
      <c r="F24" s="13" t="s">
        <v>93</v>
      </c>
      <c r="G24" s="13" t="s">
        <v>23</v>
      </c>
      <c r="H24" s="13" t="s">
        <v>93</v>
      </c>
      <c r="I24" s="14" t="s">
        <v>23</v>
      </c>
      <c r="J24" t="s">
        <v>48</v>
      </c>
      <c r="K24" t="s">
        <v>112</v>
      </c>
      <c r="L24" t="s">
        <v>48</v>
      </c>
      <c r="M24" t="s">
        <v>16</v>
      </c>
    </row>
    <row r="25" spans="1:13" x14ac:dyDescent="0.35">
      <c r="A25" t="s">
        <v>33</v>
      </c>
      <c r="B25" s="31" t="s">
        <v>153</v>
      </c>
      <c r="C25" t="s">
        <v>42</v>
      </c>
      <c r="D25">
        <v>11</v>
      </c>
      <c r="E25">
        <v>227</v>
      </c>
      <c r="F25" s="13" t="s">
        <v>93</v>
      </c>
      <c r="G25" s="13" t="s">
        <v>23</v>
      </c>
      <c r="H25" s="13" t="s">
        <v>93</v>
      </c>
      <c r="I25" s="14" t="s">
        <v>23</v>
      </c>
      <c r="J25" t="s">
        <v>112</v>
      </c>
      <c r="K25" t="s">
        <v>105</v>
      </c>
      <c r="L25" t="s">
        <v>48</v>
      </c>
      <c r="M25" t="s">
        <v>16</v>
      </c>
    </row>
    <row r="26" spans="1:13" x14ac:dyDescent="0.35">
      <c r="A26" t="s">
        <v>33</v>
      </c>
      <c r="B26" s="31" t="s">
        <v>174</v>
      </c>
      <c r="C26" t="s">
        <v>27</v>
      </c>
      <c r="D26">
        <v>11</v>
      </c>
      <c r="E26" t="s">
        <v>175</v>
      </c>
      <c r="F26" s="14" t="b">
        <v>0</v>
      </c>
      <c r="G26" s="14" t="s">
        <v>95</v>
      </c>
      <c r="H26" s="13" t="s">
        <v>93</v>
      </c>
      <c r="I26" s="14" t="s">
        <v>96</v>
      </c>
      <c r="J26" t="s">
        <v>176</v>
      </c>
      <c r="K26" t="s">
        <v>177</v>
      </c>
      <c r="L26" t="s">
        <v>67</v>
      </c>
      <c r="M26" t="s">
        <v>31</v>
      </c>
    </row>
    <row r="27" spans="1:13" x14ac:dyDescent="0.35">
      <c r="A27" s="1" t="s">
        <v>54</v>
      </c>
      <c r="B27" s="28" t="s">
        <v>55</v>
      </c>
      <c r="C27" s="1" t="s">
        <v>27</v>
      </c>
      <c r="D27" s="1">
        <v>40</v>
      </c>
      <c r="E27" s="10">
        <v>26</v>
      </c>
      <c r="F27" s="14" t="b">
        <v>0</v>
      </c>
      <c r="G27" s="14" t="s">
        <v>25</v>
      </c>
      <c r="H27" s="13" t="s">
        <v>93</v>
      </c>
      <c r="I27" s="14" t="s">
        <v>23</v>
      </c>
      <c r="J27" t="s">
        <v>115</v>
      </c>
      <c r="K27" t="s">
        <v>116</v>
      </c>
      <c r="L27" s="1" t="s">
        <v>47</v>
      </c>
      <c r="M27" s="1" t="s">
        <v>16</v>
      </c>
    </row>
    <row r="28" spans="1:13" x14ac:dyDescent="0.35">
      <c r="A28" s="1" t="s">
        <v>54</v>
      </c>
      <c r="B28" s="28" t="s">
        <v>154</v>
      </c>
      <c r="C28" s="1"/>
      <c r="D28" s="1">
        <v>40</v>
      </c>
      <c r="E28" s="10">
        <v>198</v>
      </c>
      <c r="F28" s="13" t="s">
        <v>93</v>
      </c>
      <c r="G28" s="13" t="s">
        <v>23</v>
      </c>
      <c r="H28" s="13" t="b">
        <v>0</v>
      </c>
      <c r="I28" s="13" t="s">
        <v>25</v>
      </c>
      <c r="J28" s="16" t="s">
        <v>156</v>
      </c>
      <c r="K28" s="16" t="s">
        <v>157</v>
      </c>
      <c r="L28" s="16" t="s">
        <v>157</v>
      </c>
      <c r="M28" s="16" t="s">
        <v>121</v>
      </c>
    </row>
    <row r="29" spans="1:13" x14ac:dyDescent="0.35">
      <c r="A29" s="1" t="s">
        <v>54</v>
      </c>
      <c r="B29" s="28" t="s">
        <v>155</v>
      </c>
      <c r="C29" s="1"/>
      <c r="D29" s="1">
        <v>40</v>
      </c>
      <c r="E29" s="10">
        <v>201</v>
      </c>
      <c r="F29" s="13" t="s">
        <v>93</v>
      </c>
      <c r="G29" s="13" t="s">
        <v>23</v>
      </c>
      <c r="H29" s="13" t="b">
        <v>0</v>
      </c>
      <c r="I29" s="13" t="s">
        <v>25</v>
      </c>
      <c r="J29" s="16" t="s">
        <v>158</v>
      </c>
      <c r="K29" s="16" t="s">
        <v>159</v>
      </c>
      <c r="L29" s="19" t="s">
        <v>160</v>
      </c>
      <c r="M29" s="15" t="s">
        <v>20</v>
      </c>
    </row>
    <row r="30" spans="1:13" x14ac:dyDescent="0.35">
      <c r="A30" s="1" t="s">
        <v>54</v>
      </c>
      <c r="B30" s="28" t="s">
        <v>161</v>
      </c>
      <c r="C30" s="1"/>
      <c r="D30" s="1">
        <v>40</v>
      </c>
      <c r="E30" s="10">
        <v>274</v>
      </c>
      <c r="F30" s="13" t="s">
        <v>93</v>
      </c>
      <c r="G30" s="13" t="s">
        <v>23</v>
      </c>
      <c r="H30" s="13" t="b">
        <v>0</v>
      </c>
      <c r="I30" s="13" t="s">
        <v>25</v>
      </c>
      <c r="J30" s="16" t="s">
        <v>165</v>
      </c>
      <c r="K30" s="16" t="s">
        <v>166</v>
      </c>
      <c r="L30" s="16" t="s">
        <v>166</v>
      </c>
      <c r="M30" s="16" t="s">
        <v>121</v>
      </c>
    </row>
    <row r="31" spans="1:13" x14ac:dyDescent="0.35">
      <c r="A31" s="1" t="s">
        <v>54</v>
      </c>
      <c r="B31" s="28" t="s">
        <v>154</v>
      </c>
      <c r="C31" s="1"/>
      <c r="D31" s="1">
        <v>40</v>
      </c>
      <c r="E31" s="10">
        <v>198</v>
      </c>
      <c r="F31" s="13" t="s">
        <v>93</v>
      </c>
      <c r="G31" s="13" t="s">
        <v>23</v>
      </c>
      <c r="H31" s="13" t="b">
        <v>0</v>
      </c>
      <c r="I31" s="13" t="s">
        <v>25</v>
      </c>
      <c r="J31" s="16" t="s">
        <v>156</v>
      </c>
      <c r="K31" s="16" t="s">
        <v>157</v>
      </c>
      <c r="L31" s="16" t="s">
        <v>157</v>
      </c>
      <c r="M31" s="16" t="s">
        <v>121</v>
      </c>
    </row>
    <row r="32" spans="1:13" x14ac:dyDescent="0.35">
      <c r="A32" s="1" t="s">
        <v>54</v>
      </c>
      <c r="B32" s="28" t="s">
        <v>155</v>
      </c>
      <c r="C32" s="1"/>
      <c r="D32" s="1">
        <v>40</v>
      </c>
      <c r="E32" s="10">
        <v>201</v>
      </c>
      <c r="F32" s="13" t="s">
        <v>93</v>
      </c>
      <c r="G32" s="13" t="s">
        <v>23</v>
      </c>
      <c r="H32" s="13" t="b">
        <v>0</v>
      </c>
      <c r="I32" s="13" t="s">
        <v>25</v>
      </c>
      <c r="J32" s="16" t="s">
        <v>158</v>
      </c>
      <c r="K32" s="16" t="s">
        <v>159</v>
      </c>
      <c r="L32" s="19" t="s">
        <v>160</v>
      </c>
      <c r="M32" s="15" t="s">
        <v>20</v>
      </c>
    </row>
    <row r="33" spans="1:13" x14ac:dyDescent="0.35">
      <c r="A33" s="1" t="s">
        <v>54</v>
      </c>
      <c r="B33" s="28" t="s">
        <v>161</v>
      </c>
      <c r="C33" s="1"/>
      <c r="D33" s="1">
        <v>40</v>
      </c>
      <c r="E33" s="10">
        <v>274</v>
      </c>
      <c r="F33" s="13" t="s">
        <v>93</v>
      </c>
      <c r="G33" s="13" t="s">
        <v>23</v>
      </c>
      <c r="H33" s="13" t="b">
        <v>0</v>
      </c>
      <c r="I33" s="13" t="s">
        <v>25</v>
      </c>
      <c r="J33" s="16" t="s">
        <v>165</v>
      </c>
      <c r="K33" s="16" t="s">
        <v>166</v>
      </c>
      <c r="L33" s="16" t="s">
        <v>166</v>
      </c>
      <c r="M33" s="16" t="s">
        <v>121</v>
      </c>
    </row>
    <row r="34" spans="1:13" x14ac:dyDescent="0.35">
      <c r="A34" s="1" t="s">
        <v>54</v>
      </c>
      <c r="B34" s="28" t="s">
        <v>74</v>
      </c>
      <c r="C34" s="1" t="s">
        <v>30</v>
      </c>
      <c r="D34" s="1">
        <v>40</v>
      </c>
      <c r="E34" s="10">
        <v>398</v>
      </c>
      <c r="F34" s="14" t="b">
        <v>0</v>
      </c>
      <c r="G34" s="14" t="s">
        <v>25</v>
      </c>
      <c r="H34" s="13" t="s">
        <v>93</v>
      </c>
      <c r="I34" s="14" t="s">
        <v>23</v>
      </c>
      <c r="J34" t="s">
        <v>186</v>
      </c>
      <c r="K34" t="s">
        <v>187</v>
      </c>
      <c r="L34" s="1" t="s">
        <v>75</v>
      </c>
      <c r="M34" s="1" t="s">
        <v>31</v>
      </c>
    </row>
    <row r="35" spans="1:13" x14ac:dyDescent="0.35">
      <c r="A35" s="1" t="s">
        <v>54</v>
      </c>
      <c r="B35" s="28" t="s">
        <v>162</v>
      </c>
      <c r="C35" s="1"/>
      <c r="D35" s="1">
        <v>40</v>
      </c>
      <c r="E35" s="10">
        <v>450</v>
      </c>
      <c r="F35" s="13" t="s">
        <v>93</v>
      </c>
      <c r="G35" s="13" t="s">
        <v>23</v>
      </c>
      <c r="H35" s="13" t="b">
        <v>0</v>
      </c>
      <c r="I35" s="13" t="s">
        <v>25</v>
      </c>
      <c r="J35" s="16" t="s">
        <v>167</v>
      </c>
      <c r="K35" s="16" t="s">
        <v>168</v>
      </c>
      <c r="L35" s="15" t="s">
        <v>167</v>
      </c>
      <c r="M35" s="15" t="s">
        <v>31</v>
      </c>
    </row>
    <row r="36" spans="1:13" x14ac:dyDescent="0.35">
      <c r="A36" s="1" t="s">
        <v>54</v>
      </c>
      <c r="B36" s="28" t="s">
        <v>162</v>
      </c>
      <c r="C36" s="1"/>
      <c r="D36" s="1">
        <v>40</v>
      </c>
      <c r="E36" s="10">
        <v>450</v>
      </c>
      <c r="F36" s="13" t="s">
        <v>93</v>
      </c>
      <c r="G36" s="13" t="s">
        <v>23</v>
      </c>
      <c r="H36" s="13" t="b">
        <v>0</v>
      </c>
      <c r="I36" s="13" t="s">
        <v>25</v>
      </c>
      <c r="J36" s="16" t="s">
        <v>167</v>
      </c>
      <c r="K36" s="16" t="s">
        <v>168</v>
      </c>
      <c r="L36" s="15" t="s">
        <v>167</v>
      </c>
      <c r="M36" s="15" t="s">
        <v>31</v>
      </c>
    </row>
    <row r="37" spans="1:13" x14ac:dyDescent="0.35">
      <c r="A37" s="1" t="s">
        <v>54</v>
      </c>
      <c r="B37" s="28" t="s">
        <v>91</v>
      </c>
      <c r="C37" s="1" t="s">
        <v>62</v>
      </c>
      <c r="D37" s="1">
        <v>41</v>
      </c>
      <c r="E37" s="10">
        <v>229</v>
      </c>
      <c r="F37" s="13" t="s">
        <v>93</v>
      </c>
      <c r="G37" s="13" t="s">
        <v>23</v>
      </c>
      <c r="H37" s="13" t="s">
        <v>93</v>
      </c>
      <c r="I37" s="14" t="s">
        <v>23</v>
      </c>
      <c r="J37" s="15" t="s">
        <v>118</v>
      </c>
      <c r="K37" s="15" t="s">
        <v>117</v>
      </c>
      <c r="L37" s="22" t="s">
        <v>92</v>
      </c>
      <c r="M37" t="s">
        <v>31</v>
      </c>
    </row>
    <row r="38" spans="1:13" x14ac:dyDescent="0.35">
      <c r="A38" s="12" t="s">
        <v>54</v>
      </c>
      <c r="B38" s="30" t="s">
        <v>164</v>
      </c>
      <c r="C38" s="12" t="s">
        <v>59</v>
      </c>
      <c r="D38" s="12">
        <v>41</v>
      </c>
      <c r="E38" s="20">
        <v>270</v>
      </c>
      <c r="F38" s="13" t="s">
        <v>93</v>
      </c>
      <c r="G38" s="13" t="s">
        <v>23</v>
      </c>
      <c r="H38" s="13" t="s">
        <v>93</v>
      </c>
      <c r="I38" s="14" t="s">
        <v>23</v>
      </c>
      <c r="J38" t="s">
        <v>172</v>
      </c>
      <c r="K38" t="s">
        <v>173</v>
      </c>
      <c r="L38" t="s">
        <v>178</v>
      </c>
      <c r="M38" t="s">
        <v>31</v>
      </c>
    </row>
    <row r="41" spans="1:13" x14ac:dyDescent="0.35">
      <c r="A41" t="s">
        <v>208</v>
      </c>
      <c r="B41" s="31">
        <f>SUM(B42:B46)</f>
        <v>4020</v>
      </c>
      <c r="E41" s="6"/>
      <c r="F41" s="14"/>
      <c r="G41"/>
      <c r="H41"/>
    </row>
    <row r="42" spans="1:13" x14ac:dyDescent="0.35">
      <c r="A42" t="s">
        <v>209</v>
      </c>
      <c r="B42" s="31">
        <v>804</v>
      </c>
      <c r="E42" s="6"/>
      <c r="F42" s="14"/>
      <c r="G42"/>
      <c r="H42"/>
    </row>
    <row r="43" spans="1:13" x14ac:dyDescent="0.35">
      <c r="A43" t="s">
        <v>210</v>
      </c>
      <c r="B43" s="31">
        <v>804</v>
      </c>
      <c r="E43" s="6"/>
      <c r="F43" s="14"/>
      <c r="G43" t="s">
        <v>200</v>
      </c>
      <c r="H43" t="s">
        <v>201</v>
      </c>
    </row>
    <row r="44" spans="1:13" x14ac:dyDescent="0.35">
      <c r="A44" t="s">
        <v>211</v>
      </c>
      <c r="B44" s="31">
        <v>804</v>
      </c>
      <c r="E44" s="6"/>
      <c r="F44" s="13" t="s">
        <v>93</v>
      </c>
      <c r="G44">
        <f>COUNTIF(F2:F38, F44)</f>
        <v>29</v>
      </c>
      <c r="H44">
        <f>COUNTIF(H2:H38, F44)</f>
        <v>23</v>
      </c>
    </row>
    <row r="45" spans="1:13" x14ac:dyDescent="0.35">
      <c r="A45" t="s">
        <v>212</v>
      </c>
      <c r="B45" s="31">
        <v>804</v>
      </c>
      <c r="E45" s="6"/>
      <c r="F45" s="13" t="b">
        <v>0</v>
      </c>
      <c r="G45">
        <f>COUNTIF(F2:F38, F45)</f>
        <v>8</v>
      </c>
      <c r="H45">
        <f>COUNTIF(H2:H38, F45)</f>
        <v>14</v>
      </c>
    </row>
    <row r="46" spans="1:13" x14ac:dyDescent="0.35">
      <c r="A46" t="s">
        <v>213</v>
      </c>
      <c r="B46" s="31">
        <v>804</v>
      </c>
      <c r="E46" s="6"/>
      <c r="F46" s="14" t="s">
        <v>23</v>
      </c>
      <c r="G46">
        <f>COUNTIF(G2:G38, F46)</f>
        <v>29</v>
      </c>
      <c r="H46">
        <f>COUNTIF(I2:I38, F46)</f>
        <v>21</v>
      </c>
    </row>
    <row r="47" spans="1:13" x14ac:dyDescent="0.35">
      <c r="E47" s="6"/>
      <c r="F47" s="14" t="s">
        <v>95</v>
      </c>
      <c r="G47">
        <f>COUNTIF(G2:G38, F47)</f>
        <v>2</v>
      </c>
      <c r="H47">
        <f>COUNTIF(I2:I38, F47)</f>
        <v>0</v>
      </c>
    </row>
    <row r="48" spans="1:13" x14ac:dyDescent="0.35">
      <c r="E48" s="6"/>
      <c r="F48" s="14" t="s">
        <v>96</v>
      </c>
      <c r="G48">
        <f>COUNTIF(G2:G38, F48)</f>
        <v>0</v>
      </c>
      <c r="H48">
        <f>COUNTIF(I2:I38, F48)</f>
        <v>2</v>
      </c>
    </row>
    <row r="49" spans="1:8" x14ac:dyDescent="0.35">
      <c r="E49" s="6"/>
      <c r="F49" s="13" t="s">
        <v>25</v>
      </c>
      <c r="G49">
        <f>COUNTIF(G2:G38, F49)</f>
        <v>6</v>
      </c>
      <c r="H49">
        <f>COUNTIF(I2:I38, F49)</f>
        <v>14</v>
      </c>
    </row>
    <row r="50" spans="1:8" x14ac:dyDescent="0.35">
      <c r="E50" s="6"/>
      <c r="F50" s="14"/>
      <c r="G50"/>
      <c r="H50"/>
    </row>
    <row r="51" spans="1:8" x14ac:dyDescent="0.35">
      <c r="E51" s="6"/>
      <c r="F51" s="14" t="s">
        <v>202</v>
      </c>
      <c r="G51">
        <f>SUM(G44, G45)</f>
        <v>37</v>
      </c>
      <c r="H51">
        <f>SUM(H44:H45)</f>
        <v>37</v>
      </c>
    </row>
    <row r="52" spans="1:8" x14ac:dyDescent="0.35">
      <c r="E52" s="6"/>
      <c r="F52" s="14" t="s">
        <v>203</v>
      </c>
      <c r="G52">
        <f>SUM(G46, G47, G48, G49)</f>
        <v>37</v>
      </c>
      <c r="H52">
        <f>SUM(H46:H49)</f>
        <v>37</v>
      </c>
    </row>
    <row r="53" spans="1:8" x14ac:dyDescent="0.35">
      <c r="E53" s="6"/>
      <c r="F53" s="14"/>
      <c r="G53"/>
      <c r="H53"/>
    </row>
    <row r="54" spans="1:8" x14ac:dyDescent="0.35">
      <c r="A54" t="s">
        <v>215</v>
      </c>
      <c r="E54" s="6"/>
      <c r="F54" s="14" t="s">
        <v>204</v>
      </c>
      <c r="G54" s="24">
        <f>G46/(G46+G49)</f>
        <v>0.82857142857142863</v>
      </c>
      <c r="H54" s="24">
        <f>H46/(H46+H49)</f>
        <v>0.6</v>
      </c>
    </row>
    <row r="55" spans="1:8" x14ac:dyDescent="0.35">
      <c r="A55" t="s">
        <v>207</v>
      </c>
      <c r="E55" s="6"/>
      <c r="F55" s="14" t="s">
        <v>205</v>
      </c>
      <c r="G55" s="24">
        <f>G46/(G46+G48)</f>
        <v>1</v>
      </c>
      <c r="H55" s="24">
        <f>H46/(H46+H48)</f>
        <v>0.91304347826086951</v>
      </c>
    </row>
    <row r="56" spans="1:8" x14ac:dyDescent="0.35">
      <c r="E56" s="6"/>
      <c r="F56" s="14"/>
      <c r="G56"/>
      <c r="H56"/>
    </row>
    <row r="57" spans="1:8" x14ac:dyDescent="0.35">
      <c r="A57" t="s">
        <v>214</v>
      </c>
      <c r="E57" s="6"/>
      <c r="F57" s="14" t="s">
        <v>206</v>
      </c>
      <c r="G57" s="24">
        <f>G44/B41</f>
        <v>7.2139303482587061E-3</v>
      </c>
      <c r="H57" s="24">
        <f>H44/B41</f>
        <v>5.7213930348258705E-3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D14A-F2BC-45D0-8A95-14C02A3BC30F}">
  <dimension ref="A1:M58"/>
  <sheetViews>
    <sheetView workbookViewId="0">
      <selection activeCell="L1" sqref="L1:M1"/>
    </sheetView>
  </sheetViews>
  <sheetFormatPr defaultRowHeight="14.5" x14ac:dyDescent="0.35"/>
  <cols>
    <col min="2" max="2" width="9.26953125" style="31" customWidth="1"/>
    <col min="3" max="3" width="5.26953125" customWidth="1"/>
    <col min="5" max="5" width="7" customWidth="1"/>
    <col min="6" max="6" width="13.08984375" style="14" customWidth="1"/>
    <col min="7" max="7" width="16.26953125" style="14" customWidth="1"/>
    <col min="8" max="8" width="14.81640625" customWidth="1"/>
    <col min="9" max="9" width="18.90625" customWidth="1"/>
    <col min="10" max="11" width="10.7265625" customWidth="1"/>
    <col min="12" max="12" width="17.453125" customWidth="1"/>
    <col min="13" max="13" width="15.54296875" customWidth="1"/>
  </cols>
  <sheetData>
    <row r="1" spans="1:13" x14ac:dyDescent="0.35">
      <c r="A1" s="4" t="s">
        <v>0</v>
      </c>
      <c r="B1" s="29" t="s">
        <v>1</v>
      </c>
      <c r="C1" s="4" t="s">
        <v>231</v>
      </c>
      <c r="D1" s="4" t="s">
        <v>3</v>
      </c>
      <c r="E1" s="4" t="s">
        <v>4</v>
      </c>
      <c r="F1" s="36" t="s">
        <v>5</v>
      </c>
      <c r="G1" s="36" t="s">
        <v>6</v>
      </c>
      <c r="H1" s="4" t="s">
        <v>76</v>
      </c>
      <c r="I1" s="4" t="s">
        <v>77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s="1" t="s">
        <v>12</v>
      </c>
      <c r="B2" s="28" t="s">
        <v>13</v>
      </c>
      <c r="C2" s="1" t="s">
        <v>42</v>
      </c>
      <c r="D2" s="1">
        <v>24</v>
      </c>
      <c r="E2" s="10">
        <v>52</v>
      </c>
      <c r="F2" s="13" t="s">
        <v>93</v>
      </c>
      <c r="G2" s="13" t="s">
        <v>23</v>
      </c>
      <c r="H2" s="13" t="s">
        <v>93</v>
      </c>
      <c r="I2" s="13" t="s">
        <v>23</v>
      </c>
      <c r="J2" s="1" t="s">
        <v>100</v>
      </c>
      <c r="K2" s="1" t="s">
        <v>101</v>
      </c>
      <c r="L2" s="1" t="s">
        <v>15</v>
      </c>
      <c r="M2" s="1" t="s">
        <v>16</v>
      </c>
    </row>
    <row r="3" spans="1:13" x14ac:dyDescent="0.35">
      <c r="A3" s="1" t="s">
        <v>12</v>
      </c>
      <c r="B3" s="28" t="s">
        <v>24</v>
      </c>
      <c r="C3" s="1" t="s">
        <v>27</v>
      </c>
      <c r="D3" s="1">
        <v>24</v>
      </c>
      <c r="E3" s="10">
        <v>57</v>
      </c>
      <c r="F3" s="13" t="s">
        <v>93</v>
      </c>
      <c r="G3" s="13" t="s">
        <v>23</v>
      </c>
      <c r="H3" s="13" t="s">
        <v>93</v>
      </c>
      <c r="I3" s="14" t="s">
        <v>23</v>
      </c>
      <c r="J3" t="s">
        <v>119</v>
      </c>
      <c r="K3" t="s">
        <v>120</v>
      </c>
      <c r="L3" t="s">
        <v>120</v>
      </c>
      <c r="M3" t="s">
        <v>121</v>
      </c>
    </row>
    <row r="4" spans="1:13" x14ac:dyDescent="0.35">
      <c r="A4" s="1" t="s">
        <v>12</v>
      </c>
      <c r="B4" s="28" t="s">
        <v>17</v>
      </c>
      <c r="C4" s="1" t="s">
        <v>59</v>
      </c>
      <c r="D4" s="1">
        <v>24</v>
      </c>
      <c r="E4" s="10">
        <v>154</v>
      </c>
      <c r="F4" s="13" t="s">
        <v>93</v>
      </c>
      <c r="G4" s="13" t="s">
        <v>23</v>
      </c>
      <c r="H4" s="13" t="s">
        <v>93</v>
      </c>
      <c r="I4" s="13" t="s">
        <v>23</v>
      </c>
      <c r="J4" s="1" t="s">
        <v>102</v>
      </c>
      <c r="K4" s="1" t="s">
        <v>103</v>
      </c>
      <c r="L4" s="1" t="s">
        <v>19</v>
      </c>
      <c r="M4" s="1" t="s">
        <v>20</v>
      </c>
    </row>
    <row r="5" spans="1:13" x14ac:dyDescent="0.35">
      <c r="A5" s="1" t="s">
        <v>12</v>
      </c>
      <c r="B5" s="28" t="s">
        <v>21</v>
      </c>
      <c r="C5" s="1" t="s">
        <v>59</v>
      </c>
      <c r="D5" s="1">
        <v>24</v>
      </c>
      <c r="E5" s="10">
        <v>183</v>
      </c>
      <c r="F5" s="13" t="s">
        <v>93</v>
      </c>
      <c r="G5" s="13" t="s">
        <v>23</v>
      </c>
      <c r="H5" s="13" t="s">
        <v>93</v>
      </c>
      <c r="I5" s="13" t="s">
        <v>23</v>
      </c>
      <c r="J5" s="1" t="s">
        <v>102</v>
      </c>
      <c r="K5" s="1" t="s">
        <v>103</v>
      </c>
      <c r="L5" s="1" t="s">
        <v>19</v>
      </c>
      <c r="M5" s="1" t="s">
        <v>20</v>
      </c>
    </row>
    <row r="6" spans="1:13" x14ac:dyDescent="0.35">
      <c r="A6" s="1" t="s">
        <v>12</v>
      </c>
      <c r="B6" s="28" t="s">
        <v>60</v>
      </c>
      <c r="C6" s="1" t="s">
        <v>27</v>
      </c>
      <c r="D6" s="1">
        <v>24</v>
      </c>
      <c r="E6" s="10">
        <v>230</v>
      </c>
      <c r="F6" s="14" t="b">
        <v>0</v>
      </c>
      <c r="G6" s="14" t="s">
        <v>95</v>
      </c>
      <c r="H6" s="13" t="s">
        <v>93</v>
      </c>
      <c r="I6" s="14" t="s">
        <v>96</v>
      </c>
      <c r="J6" t="s">
        <v>179</v>
      </c>
      <c r="K6" t="s">
        <v>180</v>
      </c>
      <c r="L6" s="1" t="s">
        <v>66</v>
      </c>
      <c r="M6" s="1" t="s">
        <v>16</v>
      </c>
    </row>
    <row r="7" spans="1:13" x14ac:dyDescent="0.35">
      <c r="A7" s="1" t="s">
        <v>12</v>
      </c>
      <c r="B7" s="28" t="s">
        <v>78</v>
      </c>
      <c r="C7" s="1" t="s">
        <v>59</v>
      </c>
      <c r="D7" s="1">
        <v>24</v>
      </c>
      <c r="E7" s="10">
        <v>231</v>
      </c>
      <c r="F7" s="14" t="b">
        <v>0</v>
      </c>
      <c r="G7" s="14" t="s">
        <v>95</v>
      </c>
      <c r="H7" s="13" t="s">
        <v>93</v>
      </c>
      <c r="I7" s="14" t="s">
        <v>96</v>
      </c>
      <c r="J7" t="s">
        <v>180</v>
      </c>
      <c r="K7" t="s">
        <v>188</v>
      </c>
      <c r="L7" s="1" t="s">
        <v>66</v>
      </c>
      <c r="M7" s="2" t="s">
        <v>16</v>
      </c>
    </row>
    <row r="8" spans="1:13" x14ac:dyDescent="0.35">
      <c r="A8" s="1" t="s">
        <v>12</v>
      </c>
      <c r="B8" s="28" t="s">
        <v>61</v>
      </c>
      <c r="C8" s="1" t="s">
        <v>37</v>
      </c>
      <c r="D8" s="1">
        <v>24</v>
      </c>
      <c r="E8" s="10">
        <v>258</v>
      </c>
      <c r="F8" s="14" t="b">
        <v>0</v>
      </c>
      <c r="G8" s="14" t="s">
        <v>25</v>
      </c>
      <c r="H8" s="13" t="s">
        <v>93</v>
      </c>
      <c r="I8" s="14" t="s">
        <v>23</v>
      </c>
      <c r="J8" t="s">
        <v>177</v>
      </c>
      <c r="K8" t="s">
        <v>181</v>
      </c>
      <c r="L8" s="1" t="s">
        <v>67</v>
      </c>
      <c r="M8" s="1" t="s">
        <v>31</v>
      </c>
    </row>
    <row r="9" spans="1:13" x14ac:dyDescent="0.35">
      <c r="A9" s="1" t="s">
        <v>12</v>
      </c>
      <c r="B9" s="28" t="s">
        <v>79</v>
      </c>
      <c r="C9" s="1" t="s">
        <v>30</v>
      </c>
      <c r="D9" s="1">
        <v>24</v>
      </c>
      <c r="E9" s="10">
        <v>359</v>
      </c>
      <c r="F9" s="14" t="b">
        <v>0</v>
      </c>
      <c r="G9" s="14" t="s">
        <v>25</v>
      </c>
      <c r="H9" s="13" t="s">
        <v>93</v>
      </c>
      <c r="I9" s="14" t="s">
        <v>23</v>
      </c>
      <c r="J9" t="s">
        <v>189</v>
      </c>
      <c r="K9" t="s">
        <v>190</v>
      </c>
      <c r="L9" s="1" t="s">
        <v>81</v>
      </c>
      <c r="M9" s="2" t="s">
        <v>20</v>
      </c>
    </row>
    <row r="10" spans="1:13" x14ac:dyDescent="0.35">
      <c r="A10" s="1" t="s">
        <v>12</v>
      </c>
      <c r="B10" s="28" t="s">
        <v>80</v>
      </c>
      <c r="C10" s="1" t="s">
        <v>22</v>
      </c>
      <c r="D10" s="1">
        <v>24</v>
      </c>
      <c r="E10" s="10">
        <v>483</v>
      </c>
      <c r="F10" s="13" t="s">
        <v>93</v>
      </c>
      <c r="G10" s="14" t="s">
        <v>23</v>
      </c>
      <c r="H10" s="13" t="s">
        <v>93</v>
      </c>
      <c r="I10" s="14" t="s">
        <v>23</v>
      </c>
      <c r="J10" t="s">
        <v>132</v>
      </c>
      <c r="K10" t="s">
        <v>133</v>
      </c>
      <c r="L10" t="s">
        <v>82</v>
      </c>
      <c r="M10" t="s">
        <v>20</v>
      </c>
    </row>
    <row r="11" spans="1:13" x14ac:dyDescent="0.35">
      <c r="A11" s="1" t="s">
        <v>12</v>
      </c>
      <c r="B11" s="28" t="s">
        <v>63</v>
      </c>
      <c r="C11" s="1" t="s">
        <v>30</v>
      </c>
      <c r="D11" s="1">
        <v>24</v>
      </c>
      <c r="E11" s="10">
        <v>510</v>
      </c>
      <c r="F11" s="14" t="b">
        <v>0</v>
      </c>
      <c r="G11" s="14" t="s">
        <v>25</v>
      </c>
      <c r="H11" s="13" t="s">
        <v>93</v>
      </c>
      <c r="I11" s="14" t="s">
        <v>23</v>
      </c>
      <c r="J11" t="s">
        <v>182</v>
      </c>
      <c r="K11" t="s">
        <v>183</v>
      </c>
      <c r="L11" s="1" t="s">
        <v>68</v>
      </c>
      <c r="M11" s="1" t="s">
        <v>31</v>
      </c>
    </row>
    <row r="12" spans="1:13" x14ac:dyDescent="0.35">
      <c r="A12" s="1" t="s">
        <v>12</v>
      </c>
      <c r="B12" s="28" t="s">
        <v>64</v>
      </c>
      <c r="C12" s="1" t="s">
        <v>59</v>
      </c>
      <c r="D12" s="1">
        <v>24</v>
      </c>
      <c r="E12" s="10">
        <v>688</v>
      </c>
      <c r="F12" s="13" t="s">
        <v>93</v>
      </c>
      <c r="G12" s="14" t="s">
        <v>23</v>
      </c>
      <c r="H12" s="13" t="s">
        <v>93</v>
      </c>
      <c r="I12" s="14" t="s">
        <v>23</v>
      </c>
      <c r="J12" t="s">
        <v>134</v>
      </c>
      <c r="K12" t="s">
        <v>135</v>
      </c>
      <c r="L12" t="s">
        <v>69</v>
      </c>
      <c r="M12" t="s">
        <v>20</v>
      </c>
    </row>
    <row r="13" spans="1:13" x14ac:dyDescent="0.35">
      <c r="A13" s="1" t="s">
        <v>12</v>
      </c>
      <c r="B13" s="28" t="s">
        <v>65</v>
      </c>
      <c r="C13" s="1" t="s">
        <v>59</v>
      </c>
      <c r="D13" s="1">
        <v>24</v>
      </c>
      <c r="E13" s="10">
        <v>772</v>
      </c>
      <c r="F13" s="14" t="b">
        <v>0</v>
      </c>
      <c r="G13" s="14" t="s">
        <v>95</v>
      </c>
      <c r="H13" s="13" t="s">
        <v>93</v>
      </c>
      <c r="I13" s="14" t="s">
        <v>96</v>
      </c>
      <c r="J13" t="s">
        <v>184</v>
      </c>
      <c r="K13" t="s">
        <v>185</v>
      </c>
      <c r="L13" s="1" t="s">
        <v>70</v>
      </c>
      <c r="M13" s="1" t="s">
        <v>16</v>
      </c>
    </row>
    <row r="14" spans="1:13" x14ac:dyDescent="0.35">
      <c r="A14" s="1" t="s">
        <v>26</v>
      </c>
      <c r="B14" s="28" t="s">
        <v>71</v>
      </c>
      <c r="C14" s="1" t="s">
        <v>29</v>
      </c>
      <c r="D14" s="1">
        <v>1</v>
      </c>
      <c r="E14" s="10">
        <v>41</v>
      </c>
      <c r="F14" s="13" t="s">
        <v>93</v>
      </c>
      <c r="G14" s="14" t="s">
        <v>23</v>
      </c>
      <c r="H14" s="13" t="s">
        <v>93</v>
      </c>
      <c r="I14" s="14" t="s">
        <v>23</v>
      </c>
      <c r="J14" t="s">
        <v>136</v>
      </c>
      <c r="K14" t="s">
        <v>137</v>
      </c>
      <c r="L14" s="1" t="s">
        <v>72</v>
      </c>
      <c r="M14" s="1" t="s">
        <v>31</v>
      </c>
    </row>
    <row r="15" spans="1:13" x14ac:dyDescent="0.35">
      <c r="A15" s="1" t="s">
        <v>26</v>
      </c>
      <c r="B15" s="28" t="s">
        <v>138</v>
      </c>
      <c r="C15" s="1"/>
      <c r="D15" s="1">
        <v>1</v>
      </c>
      <c r="E15" s="10">
        <v>135</v>
      </c>
      <c r="F15" s="13" t="s">
        <v>93</v>
      </c>
      <c r="G15" s="14" t="s">
        <v>23</v>
      </c>
      <c r="H15" s="13" t="b">
        <v>0</v>
      </c>
      <c r="I15" s="14" t="s">
        <v>25</v>
      </c>
      <c r="J15" t="s">
        <v>139</v>
      </c>
      <c r="K15" t="s">
        <v>140</v>
      </c>
      <c r="L15" t="s">
        <v>141</v>
      </c>
      <c r="M15" t="s">
        <v>121</v>
      </c>
    </row>
    <row r="16" spans="1:13" x14ac:dyDescent="0.35">
      <c r="A16" s="1" t="s">
        <v>26</v>
      </c>
      <c r="B16" s="28" t="s">
        <v>28</v>
      </c>
      <c r="C16" s="1" t="s">
        <v>30</v>
      </c>
      <c r="D16" s="1">
        <v>1</v>
      </c>
      <c r="E16" s="10">
        <v>297</v>
      </c>
      <c r="F16" s="13" t="s">
        <v>93</v>
      </c>
      <c r="G16" s="14" t="s">
        <v>23</v>
      </c>
      <c r="H16" s="13" t="s">
        <v>93</v>
      </c>
      <c r="I16" s="14" t="s">
        <v>23</v>
      </c>
      <c r="J16" t="s">
        <v>104</v>
      </c>
      <c r="K16" t="s">
        <v>32</v>
      </c>
      <c r="L16" s="1" t="s">
        <v>32</v>
      </c>
      <c r="M16" s="1" t="s">
        <v>31</v>
      </c>
    </row>
    <row r="17" spans="1:13" x14ac:dyDescent="0.35">
      <c r="A17" s="1" t="s">
        <v>26</v>
      </c>
      <c r="B17" s="28" t="s">
        <v>142</v>
      </c>
      <c r="C17" s="1"/>
      <c r="D17" s="1">
        <v>1</v>
      </c>
      <c r="E17" s="10">
        <v>336</v>
      </c>
      <c r="F17" s="13" t="s">
        <v>93</v>
      </c>
      <c r="G17" s="14" t="s">
        <v>23</v>
      </c>
      <c r="H17" s="13" t="b">
        <v>0</v>
      </c>
      <c r="I17" s="14" t="s">
        <v>25</v>
      </c>
      <c r="J17" t="s">
        <v>143</v>
      </c>
      <c r="K17" t="s">
        <v>144</v>
      </c>
      <c r="L17" t="s">
        <v>145</v>
      </c>
      <c r="M17" t="s">
        <v>16</v>
      </c>
    </row>
    <row r="18" spans="1:13" x14ac:dyDescent="0.35">
      <c r="A18" s="1" t="s">
        <v>26</v>
      </c>
      <c r="B18" s="28" t="s">
        <v>83</v>
      </c>
      <c r="C18" s="1" t="s">
        <v>59</v>
      </c>
      <c r="D18" s="1">
        <v>1</v>
      </c>
      <c r="E18" s="10">
        <v>583</v>
      </c>
      <c r="F18" s="13" t="s">
        <v>93</v>
      </c>
      <c r="G18" s="14" t="s">
        <v>23</v>
      </c>
      <c r="H18" s="13" t="s">
        <v>93</v>
      </c>
      <c r="I18" s="14" t="s">
        <v>23</v>
      </c>
      <c r="J18" t="s">
        <v>146</v>
      </c>
      <c r="K18" t="s">
        <v>147</v>
      </c>
      <c r="L18" s="1" t="s">
        <v>84</v>
      </c>
      <c r="M18" s="2" t="s">
        <v>20</v>
      </c>
    </row>
    <row r="19" spans="1:13" x14ac:dyDescent="0.35">
      <c r="A19" s="1" t="s">
        <v>33</v>
      </c>
      <c r="B19" s="28" t="s">
        <v>34</v>
      </c>
      <c r="C19" s="1" t="s">
        <v>30</v>
      </c>
      <c r="D19" s="1">
        <v>10</v>
      </c>
      <c r="E19" s="10" t="s">
        <v>35</v>
      </c>
      <c r="F19" s="14" t="b">
        <v>0</v>
      </c>
      <c r="G19" s="14" t="s">
        <v>25</v>
      </c>
      <c r="H19" s="13" t="s">
        <v>93</v>
      </c>
      <c r="I19" s="14" t="s">
        <v>23</v>
      </c>
      <c r="J19" t="s">
        <v>94</v>
      </c>
      <c r="K19" t="s">
        <v>97</v>
      </c>
      <c r="L19" s="1" t="s">
        <v>47</v>
      </c>
      <c r="M19" s="1" t="s">
        <v>16</v>
      </c>
    </row>
    <row r="20" spans="1:13" x14ac:dyDescent="0.35">
      <c r="A20" s="1" t="s">
        <v>33</v>
      </c>
      <c r="B20" s="28" t="s">
        <v>36</v>
      </c>
      <c r="C20" s="1" t="s">
        <v>27</v>
      </c>
      <c r="D20" s="1">
        <v>10</v>
      </c>
      <c r="E20" s="10" t="s">
        <v>38</v>
      </c>
      <c r="F20" s="13" t="s">
        <v>93</v>
      </c>
      <c r="G20" s="14" t="s">
        <v>23</v>
      </c>
      <c r="H20" s="13" t="s">
        <v>93</v>
      </c>
      <c r="I20" s="14" t="s">
        <v>23</v>
      </c>
      <c r="J20" t="s">
        <v>105</v>
      </c>
      <c r="K20" t="s">
        <v>48</v>
      </c>
      <c r="L20" s="1" t="s">
        <v>48</v>
      </c>
      <c r="M20" s="2" t="s">
        <v>16</v>
      </c>
    </row>
    <row r="21" spans="1:13" x14ac:dyDescent="0.35">
      <c r="A21" s="1" t="s">
        <v>33</v>
      </c>
      <c r="B21" s="28" t="s">
        <v>39</v>
      </c>
      <c r="C21" s="1" t="s">
        <v>22</v>
      </c>
      <c r="D21" s="1">
        <v>10</v>
      </c>
      <c r="E21" s="10" t="s">
        <v>40</v>
      </c>
      <c r="F21" s="13" t="s">
        <v>93</v>
      </c>
      <c r="G21" s="14" t="s">
        <v>23</v>
      </c>
      <c r="H21" s="13" t="s">
        <v>93</v>
      </c>
      <c r="I21" s="14" t="s">
        <v>23</v>
      </c>
      <c r="J21" t="s">
        <v>106</v>
      </c>
      <c r="K21" t="s">
        <v>107</v>
      </c>
      <c r="L21" s="1" t="s">
        <v>48</v>
      </c>
      <c r="M21" s="1" t="s">
        <v>16</v>
      </c>
    </row>
    <row r="22" spans="1:13" x14ac:dyDescent="0.35">
      <c r="A22" s="1" t="s">
        <v>33</v>
      </c>
      <c r="B22" s="28" t="s">
        <v>41</v>
      </c>
      <c r="C22" s="1" t="s">
        <v>37</v>
      </c>
      <c r="D22" s="1">
        <v>10</v>
      </c>
      <c r="E22" s="10" t="s">
        <v>43</v>
      </c>
      <c r="F22" s="13" t="s">
        <v>93</v>
      </c>
      <c r="G22" s="14" t="s">
        <v>23</v>
      </c>
      <c r="H22" s="13" t="s">
        <v>93</v>
      </c>
      <c r="I22" s="14" t="s">
        <v>23</v>
      </c>
      <c r="J22" t="s">
        <v>108</v>
      </c>
      <c r="K22" t="s">
        <v>49</v>
      </c>
      <c r="L22" s="1" t="s">
        <v>49</v>
      </c>
      <c r="M22" s="1" t="s">
        <v>31</v>
      </c>
    </row>
    <row r="23" spans="1:13" x14ac:dyDescent="0.35">
      <c r="A23" s="1" t="s">
        <v>33</v>
      </c>
      <c r="B23" s="28" t="s">
        <v>44</v>
      </c>
      <c r="C23" s="1" t="s">
        <v>73</v>
      </c>
      <c r="D23" s="1">
        <v>10</v>
      </c>
      <c r="E23" s="10" t="s">
        <v>46</v>
      </c>
      <c r="F23" s="13" t="s">
        <v>93</v>
      </c>
      <c r="G23" s="14" t="s">
        <v>23</v>
      </c>
      <c r="H23" s="13" t="s">
        <v>93</v>
      </c>
      <c r="I23" s="14" t="s">
        <v>23</v>
      </c>
      <c r="J23" t="s">
        <v>109</v>
      </c>
      <c r="K23" t="s">
        <v>50</v>
      </c>
      <c r="L23" s="1" t="s">
        <v>50</v>
      </c>
      <c r="M23" s="1" t="s">
        <v>31</v>
      </c>
    </row>
    <row r="24" spans="1:13" x14ac:dyDescent="0.35">
      <c r="A24" s="1" t="s">
        <v>33</v>
      </c>
      <c r="B24" s="28" t="s">
        <v>85</v>
      </c>
      <c r="C24" s="1" t="s">
        <v>27</v>
      </c>
      <c r="D24" s="1">
        <v>10</v>
      </c>
      <c r="E24" s="10" t="s">
        <v>86</v>
      </c>
      <c r="F24" s="13" t="s">
        <v>93</v>
      </c>
      <c r="G24" s="14" t="s">
        <v>23</v>
      </c>
      <c r="H24" s="13" t="s">
        <v>93</v>
      </c>
      <c r="I24" s="14" t="s">
        <v>23</v>
      </c>
      <c r="J24" t="s">
        <v>148</v>
      </c>
      <c r="K24" t="s">
        <v>133</v>
      </c>
      <c r="L24" t="s">
        <v>82</v>
      </c>
      <c r="M24" t="s">
        <v>20</v>
      </c>
    </row>
    <row r="25" spans="1:13" x14ac:dyDescent="0.35">
      <c r="A25" s="1" t="s">
        <v>33</v>
      </c>
      <c r="B25" s="28" t="s">
        <v>149</v>
      </c>
      <c r="C25" s="1"/>
      <c r="D25" s="1">
        <v>11</v>
      </c>
      <c r="E25" s="10">
        <v>26</v>
      </c>
      <c r="F25" s="13" t="s">
        <v>93</v>
      </c>
      <c r="G25" s="14" t="s">
        <v>23</v>
      </c>
      <c r="H25" s="13" t="b">
        <v>0</v>
      </c>
      <c r="I25" s="14" t="s">
        <v>25</v>
      </c>
      <c r="J25" t="s">
        <v>150</v>
      </c>
      <c r="K25" t="s">
        <v>151</v>
      </c>
      <c r="L25" t="s">
        <v>152</v>
      </c>
      <c r="M25" t="s">
        <v>31</v>
      </c>
    </row>
    <row r="26" spans="1:13" x14ac:dyDescent="0.35">
      <c r="A26" t="s">
        <v>33</v>
      </c>
      <c r="B26" s="31" t="s">
        <v>113</v>
      </c>
      <c r="C26" t="s">
        <v>59</v>
      </c>
      <c r="D26">
        <v>11</v>
      </c>
      <c r="E26" s="6" t="s">
        <v>193</v>
      </c>
      <c r="F26" s="13" t="s">
        <v>93</v>
      </c>
      <c r="G26" s="14" t="s">
        <v>23</v>
      </c>
      <c r="H26" s="13" t="s">
        <v>93</v>
      </c>
      <c r="I26" s="14" t="s">
        <v>23</v>
      </c>
      <c r="J26" t="s">
        <v>48</v>
      </c>
      <c r="K26" t="s">
        <v>112</v>
      </c>
      <c r="L26" s="1" t="s">
        <v>48</v>
      </c>
      <c r="M26" s="2" t="s">
        <v>16</v>
      </c>
    </row>
    <row r="27" spans="1:13" x14ac:dyDescent="0.35">
      <c r="A27" t="s">
        <v>33</v>
      </c>
      <c r="B27" s="31" t="s">
        <v>194</v>
      </c>
      <c r="C27" t="s">
        <v>59</v>
      </c>
      <c r="D27">
        <v>11</v>
      </c>
      <c r="E27" s="6" t="s">
        <v>195</v>
      </c>
      <c r="F27" s="13" t="s">
        <v>93</v>
      </c>
      <c r="G27" s="14" t="s">
        <v>23</v>
      </c>
      <c r="H27" s="13" t="s">
        <v>93</v>
      </c>
      <c r="I27" s="14" t="s">
        <v>23</v>
      </c>
      <c r="J27" t="s">
        <v>112</v>
      </c>
      <c r="K27" t="s">
        <v>105</v>
      </c>
      <c r="L27" s="1" t="s">
        <v>48</v>
      </c>
      <c r="M27" s="2" t="s">
        <v>16</v>
      </c>
    </row>
    <row r="28" spans="1:13" x14ac:dyDescent="0.35">
      <c r="A28" t="s">
        <v>33</v>
      </c>
      <c r="B28" s="31" t="s">
        <v>174</v>
      </c>
      <c r="C28" t="s">
        <v>30</v>
      </c>
      <c r="D28">
        <v>11</v>
      </c>
      <c r="E28" s="6" t="s">
        <v>175</v>
      </c>
      <c r="F28" s="14" t="b">
        <v>0</v>
      </c>
      <c r="G28" s="14" t="s">
        <v>95</v>
      </c>
      <c r="H28" s="13" t="s">
        <v>93</v>
      </c>
      <c r="I28" s="14" t="s">
        <v>96</v>
      </c>
      <c r="J28" t="s">
        <v>176</v>
      </c>
      <c r="K28" t="s">
        <v>177</v>
      </c>
      <c r="L28" t="s">
        <v>67</v>
      </c>
      <c r="M28" t="s">
        <v>31</v>
      </c>
    </row>
    <row r="29" spans="1:13" x14ac:dyDescent="0.35">
      <c r="A29" s="1" t="s">
        <v>54</v>
      </c>
      <c r="B29" s="28" t="s">
        <v>55</v>
      </c>
      <c r="C29" s="1" t="s">
        <v>30</v>
      </c>
      <c r="D29" s="1">
        <v>40</v>
      </c>
      <c r="E29" s="10">
        <v>26</v>
      </c>
      <c r="F29" s="14" t="b">
        <v>0</v>
      </c>
      <c r="G29" s="14" t="s">
        <v>25</v>
      </c>
      <c r="H29" s="13" t="s">
        <v>93</v>
      </c>
      <c r="I29" s="14" t="s">
        <v>23</v>
      </c>
      <c r="J29" t="s">
        <v>115</v>
      </c>
      <c r="K29" t="s">
        <v>116</v>
      </c>
      <c r="L29" s="1" t="s">
        <v>47</v>
      </c>
      <c r="M29" s="1" t="s">
        <v>16</v>
      </c>
    </row>
    <row r="30" spans="1:13" x14ac:dyDescent="0.35">
      <c r="A30" s="1" t="s">
        <v>54</v>
      </c>
      <c r="B30" s="28" t="s">
        <v>87</v>
      </c>
      <c r="C30" s="1" t="s">
        <v>42</v>
      </c>
      <c r="D30" s="1">
        <v>40</v>
      </c>
      <c r="E30" s="10">
        <v>39</v>
      </c>
      <c r="F30" s="14" t="b">
        <v>0</v>
      </c>
      <c r="G30" s="14" t="s">
        <v>25</v>
      </c>
      <c r="H30" s="13" t="s">
        <v>93</v>
      </c>
      <c r="I30" s="14" t="s">
        <v>23</v>
      </c>
      <c r="J30" t="s">
        <v>89</v>
      </c>
      <c r="K30" t="s">
        <v>191</v>
      </c>
      <c r="L30" s="1" t="s">
        <v>89</v>
      </c>
      <c r="M30" s="2" t="s">
        <v>20</v>
      </c>
    </row>
    <row r="31" spans="1:13" x14ac:dyDescent="0.35">
      <c r="A31" s="1" t="s">
        <v>54</v>
      </c>
      <c r="B31" s="28" t="s">
        <v>154</v>
      </c>
      <c r="C31" s="1"/>
      <c r="D31" s="1">
        <v>40</v>
      </c>
      <c r="E31" s="10">
        <v>198</v>
      </c>
      <c r="F31" s="13" t="s">
        <v>93</v>
      </c>
      <c r="G31" s="14" t="s">
        <v>23</v>
      </c>
      <c r="H31" s="13" t="b">
        <v>0</v>
      </c>
      <c r="I31" s="14" t="s">
        <v>25</v>
      </c>
      <c r="J31" s="16" t="s">
        <v>156</v>
      </c>
      <c r="K31" s="16" t="s">
        <v>157</v>
      </c>
      <c r="L31" s="16" t="s">
        <v>157</v>
      </c>
      <c r="M31" s="16" t="s">
        <v>121</v>
      </c>
    </row>
    <row r="32" spans="1:13" x14ac:dyDescent="0.35">
      <c r="A32" s="1" t="s">
        <v>54</v>
      </c>
      <c r="B32" s="28" t="s">
        <v>155</v>
      </c>
      <c r="C32" s="1"/>
      <c r="D32" s="1">
        <v>40</v>
      </c>
      <c r="E32" s="10">
        <v>201</v>
      </c>
      <c r="F32" s="13" t="s">
        <v>93</v>
      </c>
      <c r="G32" s="14" t="s">
        <v>23</v>
      </c>
      <c r="H32" s="13" t="b">
        <v>0</v>
      </c>
      <c r="I32" s="14" t="s">
        <v>25</v>
      </c>
      <c r="J32" s="16" t="s">
        <v>158</v>
      </c>
      <c r="K32" s="16" t="s">
        <v>159</v>
      </c>
      <c r="L32" s="19" t="s">
        <v>160</v>
      </c>
      <c r="M32" s="15" t="s">
        <v>20</v>
      </c>
    </row>
    <row r="33" spans="1:13" x14ac:dyDescent="0.35">
      <c r="A33" s="1" t="s">
        <v>54</v>
      </c>
      <c r="B33" s="28" t="s">
        <v>161</v>
      </c>
      <c r="C33" s="1"/>
      <c r="D33" s="1">
        <v>40</v>
      </c>
      <c r="E33" s="10">
        <v>274</v>
      </c>
      <c r="F33" s="13" t="s">
        <v>93</v>
      </c>
      <c r="G33" s="14" t="s">
        <v>23</v>
      </c>
      <c r="H33" s="13" t="b">
        <v>0</v>
      </c>
      <c r="I33" s="14" t="s">
        <v>25</v>
      </c>
      <c r="J33" s="16" t="s">
        <v>165</v>
      </c>
      <c r="K33" s="16" t="s">
        <v>166</v>
      </c>
      <c r="L33" s="16" t="s">
        <v>166</v>
      </c>
      <c r="M33" s="16" t="s">
        <v>121</v>
      </c>
    </row>
    <row r="34" spans="1:13" x14ac:dyDescent="0.35">
      <c r="A34" s="1" t="s">
        <v>54</v>
      </c>
      <c r="B34" s="28" t="s">
        <v>88</v>
      </c>
      <c r="C34" s="1" t="s">
        <v>29</v>
      </c>
      <c r="D34" s="1">
        <v>40</v>
      </c>
      <c r="E34" s="10">
        <v>343</v>
      </c>
      <c r="F34" s="14" t="b">
        <v>0</v>
      </c>
      <c r="G34" s="14" t="s">
        <v>23</v>
      </c>
      <c r="H34" s="13" t="s">
        <v>93</v>
      </c>
      <c r="I34" s="14" t="s">
        <v>23</v>
      </c>
      <c r="J34" t="s">
        <v>90</v>
      </c>
      <c r="K34" t="s">
        <v>192</v>
      </c>
      <c r="L34" s="1" t="s">
        <v>90</v>
      </c>
      <c r="M34" s="2" t="s">
        <v>31</v>
      </c>
    </row>
    <row r="35" spans="1:13" x14ac:dyDescent="0.35">
      <c r="A35" s="1" t="s">
        <v>54</v>
      </c>
      <c r="B35" s="28" t="s">
        <v>74</v>
      </c>
      <c r="C35" s="1" t="s">
        <v>22</v>
      </c>
      <c r="D35" s="1">
        <v>40</v>
      </c>
      <c r="E35" s="10">
        <v>398</v>
      </c>
      <c r="F35" s="14" t="b">
        <v>0</v>
      </c>
      <c r="G35" s="14" t="s">
        <v>25</v>
      </c>
      <c r="H35" s="13" t="s">
        <v>93</v>
      </c>
      <c r="I35" s="14" t="s">
        <v>23</v>
      </c>
      <c r="J35" t="s">
        <v>186</v>
      </c>
      <c r="K35" t="s">
        <v>187</v>
      </c>
      <c r="L35" s="1" t="s">
        <v>75</v>
      </c>
      <c r="M35" s="1" t="s">
        <v>31</v>
      </c>
    </row>
    <row r="36" spans="1:13" x14ac:dyDescent="0.35">
      <c r="A36" s="1" t="s">
        <v>54</v>
      </c>
      <c r="B36" s="28" t="s">
        <v>162</v>
      </c>
      <c r="C36" s="1"/>
      <c r="D36" s="1">
        <v>40</v>
      </c>
      <c r="E36" s="10">
        <v>450</v>
      </c>
      <c r="F36" s="13" t="s">
        <v>93</v>
      </c>
      <c r="G36" s="14" t="s">
        <v>23</v>
      </c>
      <c r="H36" s="13" t="b">
        <v>0</v>
      </c>
      <c r="I36" s="14" t="s">
        <v>25</v>
      </c>
      <c r="J36" s="16" t="s">
        <v>167</v>
      </c>
      <c r="K36" s="16" t="s">
        <v>168</v>
      </c>
      <c r="L36" s="15" t="s">
        <v>167</v>
      </c>
      <c r="M36" s="15" t="s">
        <v>31</v>
      </c>
    </row>
    <row r="37" spans="1:13" x14ac:dyDescent="0.35">
      <c r="A37" s="1" t="s">
        <v>54</v>
      </c>
      <c r="B37" s="28" t="s">
        <v>196</v>
      </c>
      <c r="C37" s="1" t="s">
        <v>29</v>
      </c>
      <c r="D37" s="1">
        <v>41</v>
      </c>
      <c r="E37" s="10">
        <v>34</v>
      </c>
      <c r="F37" s="14" t="b">
        <v>0</v>
      </c>
      <c r="G37" s="14" t="s">
        <v>25</v>
      </c>
      <c r="H37" s="13" t="s">
        <v>93</v>
      </c>
      <c r="I37" s="14" t="s">
        <v>23</v>
      </c>
      <c r="J37" t="s">
        <v>198</v>
      </c>
      <c r="K37" t="s">
        <v>199</v>
      </c>
      <c r="L37" t="s">
        <v>197</v>
      </c>
      <c r="M37" t="s">
        <v>31</v>
      </c>
    </row>
    <row r="38" spans="1:13" x14ac:dyDescent="0.35">
      <c r="A38" s="1" t="s">
        <v>54</v>
      </c>
      <c r="B38" s="28" t="s">
        <v>91</v>
      </c>
      <c r="C38" s="1" t="s">
        <v>37</v>
      </c>
      <c r="D38" s="1">
        <v>41</v>
      </c>
      <c r="E38" s="10">
        <v>229</v>
      </c>
      <c r="F38" s="13" t="s">
        <v>93</v>
      </c>
      <c r="G38" s="14" t="s">
        <v>23</v>
      </c>
      <c r="H38" s="13" t="s">
        <v>93</v>
      </c>
      <c r="I38" s="14" t="s">
        <v>23</v>
      </c>
      <c r="J38" s="15" t="s">
        <v>118</v>
      </c>
      <c r="K38" s="15" t="s">
        <v>117</v>
      </c>
      <c r="L38" t="s">
        <v>92</v>
      </c>
      <c r="M38" t="s">
        <v>31</v>
      </c>
    </row>
    <row r="39" spans="1:13" x14ac:dyDescent="0.35">
      <c r="A39" s="12" t="s">
        <v>54</v>
      </c>
      <c r="B39" s="30" t="s">
        <v>164</v>
      </c>
      <c r="C39" s="12" t="s">
        <v>59</v>
      </c>
      <c r="D39" s="12">
        <v>41</v>
      </c>
      <c r="E39" s="20">
        <v>270</v>
      </c>
      <c r="F39" s="13" t="s">
        <v>93</v>
      </c>
      <c r="G39" s="14" t="s">
        <v>23</v>
      </c>
      <c r="H39" s="13" t="s">
        <v>93</v>
      </c>
      <c r="I39" s="14" t="s">
        <v>23</v>
      </c>
      <c r="J39" t="s">
        <v>172</v>
      </c>
      <c r="K39" t="s">
        <v>173</v>
      </c>
      <c r="L39" t="s">
        <v>178</v>
      </c>
      <c r="M39" t="s">
        <v>31</v>
      </c>
    </row>
    <row r="42" spans="1:13" x14ac:dyDescent="0.35">
      <c r="A42" t="s">
        <v>208</v>
      </c>
      <c r="B42" s="31">
        <f>SUM(B43:B47)</f>
        <v>4020</v>
      </c>
      <c r="E42" s="6"/>
      <c r="G42"/>
    </row>
    <row r="43" spans="1:13" x14ac:dyDescent="0.35">
      <c r="A43" t="s">
        <v>209</v>
      </c>
      <c r="B43" s="31">
        <v>804</v>
      </c>
      <c r="E43" s="6"/>
      <c r="G43"/>
    </row>
    <row r="44" spans="1:13" x14ac:dyDescent="0.35">
      <c r="A44" t="s">
        <v>210</v>
      </c>
      <c r="B44" s="31">
        <v>804</v>
      </c>
      <c r="E44" s="6"/>
      <c r="G44" t="s">
        <v>200</v>
      </c>
      <c r="H44" t="s">
        <v>201</v>
      </c>
    </row>
    <row r="45" spans="1:13" x14ac:dyDescent="0.35">
      <c r="A45" t="s">
        <v>211</v>
      </c>
      <c r="B45" s="31">
        <v>804</v>
      </c>
      <c r="E45" s="6"/>
      <c r="F45" s="13" t="s">
        <v>93</v>
      </c>
      <c r="G45">
        <f>COUNTIF(F2:F39, F45)</f>
        <v>25</v>
      </c>
      <c r="H45">
        <f>COUNTIF(H2:H39, F45)</f>
        <v>31</v>
      </c>
    </row>
    <row r="46" spans="1:13" x14ac:dyDescent="0.35">
      <c r="A46" t="s">
        <v>212</v>
      </c>
      <c r="B46" s="31">
        <v>804</v>
      </c>
      <c r="E46" s="6"/>
      <c r="F46" s="13" t="b">
        <v>0</v>
      </c>
      <c r="G46">
        <f>COUNTIF(F2:F39, F46)</f>
        <v>13</v>
      </c>
      <c r="H46">
        <f>COUNTIF(H2:H39, F46)</f>
        <v>7</v>
      </c>
    </row>
    <row r="47" spans="1:13" x14ac:dyDescent="0.35">
      <c r="A47" t="s">
        <v>213</v>
      </c>
      <c r="B47" s="31">
        <v>804</v>
      </c>
      <c r="E47" s="6"/>
      <c r="F47" s="14" t="s">
        <v>23</v>
      </c>
      <c r="G47">
        <f>COUNTIF(G2:G39, F47)</f>
        <v>26</v>
      </c>
      <c r="H47">
        <f>COUNTIF(I2:I39, F47)</f>
        <v>27</v>
      </c>
    </row>
    <row r="48" spans="1:13" x14ac:dyDescent="0.35">
      <c r="E48" s="6"/>
      <c r="F48" s="14" t="s">
        <v>95</v>
      </c>
      <c r="G48">
        <f>COUNTIF(G2:G39, F48)</f>
        <v>4</v>
      </c>
      <c r="H48">
        <f>COUNTIF(I2:I39, F48)</f>
        <v>0</v>
      </c>
    </row>
    <row r="49" spans="1:8" x14ac:dyDescent="0.35">
      <c r="E49" s="6"/>
      <c r="F49" s="14" t="s">
        <v>96</v>
      </c>
      <c r="G49">
        <f>COUNTIF(G2:G39, F49)</f>
        <v>0</v>
      </c>
      <c r="H49">
        <f>COUNTIF(I3:I39, F49)</f>
        <v>4</v>
      </c>
    </row>
    <row r="50" spans="1:8" x14ac:dyDescent="0.35">
      <c r="E50" s="6"/>
      <c r="F50" s="13" t="s">
        <v>25</v>
      </c>
      <c r="G50">
        <f>COUNTIF(G2:G39, F50)</f>
        <v>8</v>
      </c>
      <c r="H50">
        <f>COUNTIF(I2:I39, F50)</f>
        <v>7</v>
      </c>
    </row>
    <row r="51" spans="1:8" x14ac:dyDescent="0.35">
      <c r="E51" s="6"/>
      <c r="G51"/>
    </row>
    <row r="52" spans="1:8" x14ac:dyDescent="0.35">
      <c r="E52" s="6"/>
      <c r="F52" s="14" t="s">
        <v>202</v>
      </c>
      <c r="G52">
        <f>SUM(G45, G46)</f>
        <v>38</v>
      </c>
      <c r="H52">
        <f>SUM(H45:H46)</f>
        <v>38</v>
      </c>
    </row>
    <row r="53" spans="1:8" x14ac:dyDescent="0.35">
      <c r="E53" s="6"/>
      <c r="F53" s="14" t="s">
        <v>203</v>
      </c>
      <c r="G53">
        <f>SUM(G47, G48, G49, G50)</f>
        <v>38</v>
      </c>
      <c r="H53">
        <f>SUM(H47:H50)</f>
        <v>38</v>
      </c>
    </row>
    <row r="54" spans="1:8" x14ac:dyDescent="0.35">
      <c r="E54" s="6"/>
      <c r="G54"/>
    </row>
    <row r="55" spans="1:8" x14ac:dyDescent="0.35">
      <c r="A55" t="s">
        <v>221</v>
      </c>
      <c r="E55" s="6"/>
      <c r="F55" s="14" t="s">
        <v>204</v>
      </c>
      <c r="G55" s="24">
        <f>G47/(G47+G50)</f>
        <v>0.76470588235294112</v>
      </c>
      <c r="H55" s="24">
        <f>H47/(H47+H50)</f>
        <v>0.79411764705882348</v>
      </c>
    </row>
    <row r="56" spans="1:8" x14ac:dyDescent="0.35">
      <c r="A56" t="s">
        <v>207</v>
      </c>
      <c r="E56" s="6"/>
      <c r="F56" s="14" t="s">
        <v>205</v>
      </c>
      <c r="G56" s="24">
        <f>G47/(G47+G49)</f>
        <v>1</v>
      </c>
      <c r="H56" s="24">
        <f>H47/(H47+H49)</f>
        <v>0.87096774193548387</v>
      </c>
    </row>
    <row r="57" spans="1:8" x14ac:dyDescent="0.35">
      <c r="E57" s="6"/>
      <c r="G57"/>
    </row>
    <row r="58" spans="1:8" x14ac:dyDescent="0.35">
      <c r="A58" t="s">
        <v>214</v>
      </c>
      <c r="E58" s="6"/>
      <c r="F58" s="14" t="s">
        <v>206</v>
      </c>
      <c r="G58" s="24">
        <f>G45/B42</f>
        <v>6.2189054726368162E-3</v>
      </c>
      <c r="H58" s="24">
        <f>H45/B42</f>
        <v>7.7114427860696519E-3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68DB-D4E7-46FF-916F-800980403D3D}">
  <dimension ref="A1:M50"/>
  <sheetViews>
    <sheetView workbookViewId="0">
      <selection activeCell="L1" sqref="L1:M1"/>
    </sheetView>
  </sheetViews>
  <sheetFormatPr defaultRowHeight="14.5" x14ac:dyDescent="0.35"/>
  <cols>
    <col min="1" max="1" width="9.26953125" customWidth="1"/>
    <col min="2" max="2" width="9.26953125" style="31" customWidth="1"/>
    <col min="3" max="3" width="4.6328125" customWidth="1"/>
    <col min="4" max="4" width="7.90625" customWidth="1"/>
    <col min="5" max="5" width="6.54296875" customWidth="1"/>
    <col min="6" max="6" width="12.1796875" customWidth="1"/>
    <col min="7" max="7" width="16.26953125" customWidth="1"/>
    <col min="8" max="8" width="18" style="31" customWidth="1"/>
    <col min="9" max="9" width="22.90625" customWidth="1"/>
    <col min="10" max="11" width="8.90625" customWidth="1"/>
    <col min="12" max="12" width="17.08984375" customWidth="1"/>
    <col min="13" max="13" width="14.26953125" customWidth="1"/>
  </cols>
  <sheetData>
    <row r="1" spans="1:13" x14ac:dyDescent="0.35">
      <c r="A1" s="3" t="s">
        <v>216</v>
      </c>
      <c r="B1" s="29" t="s">
        <v>1</v>
      </c>
      <c r="C1" s="4" t="s">
        <v>231</v>
      </c>
      <c r="D1" s="4" t="s">
        <v>3</v>
      </c>
      <c r="E1" s="36" t="s">
        <v>4</v>
      </c>
      <c r="F1" s="36" t="s">
        <v>5</v>
      </c>
      <c r="G1" s="4" t="s">
        <v>6</v>
      </c>
      <c r="H1" s="29" t="s">
        <v>230</v>
      </c>
      <c r="I1" s="4" t="s">
        <v>229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t="s">
        <v>217</v>
      </c>
      <c r="B2" s="28" t="s">
        <v>13</v>
      </c>
      <c r="C2" s="7" t="s">
        <v>14</v>
      </c>
      <c r="D2" s="7">
        <v>24</v>
      </c>
      <c r="E2" s="9">
        <v>52</v>
      </c>
      <c r="F2" s="23" t="s">
        <v>93</v>
      </c>
      <c r="G2" s="23" t="s">
        <v>23</v>
      </c>
      <c r="H2" s="32" t="s">
        <v>93</v>
      </c>
      <c r="I2" s="23" t="s">
        <v>23</v>
      </c>
      <c r="J2" s="7" t="s">
        <v>100</v>
      </c>
      <c r="K2" s="7" t="s">
        <v>101</v>
      </c>
      <c r="L2" s="7" t="s">
        <v>15</v>
      </c>
      <c r="M2" s="7" t="s">
        <v>16</v>
      </c>
    </row>
    <row r="3" spans="1:13" x14ac:dyDescent="0.35">
      <c r="A3" t="s">
        <v>217</v>
      </c>
      <c r="B3" s="28" t="s">
        <v>24</v>
      </c>
      <c r="C3" s="1"/>
      <c r="D3" s="1">
        <v>24</v>
      </c>
      <c r="E3" s="10">
        <v>57</v>
      </c>
      <c r="F3" s="13" t="s">
        <v>93</v>
      </c>
      <c r="G3" s="13" t="s">
        <v>23</v>
      </c>
      <c r="H3" s="32" t="b">
        <v>0</v>
      </c>
      <c r="I3" s="13" t="s">
        <v>25</v>
      </c>
      <c r="J3" s="1" t="s">
        <v>119</v>
      </c>
      <c r="K3" s="1" t="s">
        <v>120</v>
      </c>
      <c r="L3" s="1" t="s">
        <v>120</v>
      </c>
      <c r="M3" s="1" t="s">
        <v>121</v>
      </c>
    </row>
    <row r="4" spans="1:13" x14ac:dyDescent="0.35">
      <c r="A4" t="s">
        <v>217</v>
      </c>
      <c r="B4" s="28" t="s">
        <v>17</v>
      </c>
      <c r="C4" s="7" t="s">
        <v>18</v>
      </c>
      <c r="D4" s="7">
        <v>24</v>
      </c>
      <c r="E4" s="9">
        <v>154</v>
      </c>
      <c r="F4" s="23" t="s">
        <v>93</v>
      </c>
      <c r="G4" s="23" t="s">
        <v>23</v>
      </c>
      <c r="H4" s="32" t="s">
        <v>93</v>
      </c>
      <c r="I4" s="23" t="s">
        <v>23</v>
      </c>
      <c r="J4" s="7" t="s">
        <v>102</v>
      </c>
      <c r="K4" s="7" t="s">
        <v>103</v>
      </c>
      <c r="L4" s="7" t="s">
        <v>19</v>
      </c>
      <c r="M4" s="7" t="s">
        <v>20</v>
      </c>
    </row>
    <row r="5" spans="1:13" x14ac:dyDescent="0.35">
      <c r="A5" t="s">
        <v>217</v>
      </c>
      <c r="B5" s="28" t="s">
        <v>21</v>
      </c>
      <c r="C5" s="1" t="s">
        <v>22</v>
      </c>
      <c r="D5" s="1">
        <v>24</v>
      </c>
      <c r="E5" s="10">
        <v>183</v>
      </c>
      <c r="F5" s="13" t="s">
        <v>93</v>
      </c>
      <c r="G5" s="13" t="s">
        <v>23</v>
      </c>
      <c r="H5" s="32" t="s">
        <v>93</v>
      </c>
      <c r="I5" s="13" t="s">
        <v>23</v>
      </c>
      <c r="J5" s="1" t="s">
        <v>102</v>
      </c>
      <c r="K5" s="1" t="s">
        <v>103</v>
      </c>
      <c r="L5" s="1" t="s">
        <v>19</v>
      </c>
      <c r="M5" s="1" t="s">
        <v>20</v>
      </c>
    </row>
    <row r="6" spans="1:13" x14ac:dyDescent="0.35">
      <c r="A6" t="s">
        <v>217</v>
      </c>
      <c r="B6" s="28" t="s">
        <v>126</v>
      </c>
      <c r="C6" s="7"/>
      <c r="D6" s="7">
        <v>24</v>
      </c>
      <c r="E6" s="9">
        <v>397</v>
      </c>
      <c r="F6" s="23" t="s">
        <v>93</v>
      </c>
      <c r="G6" s="23" t="s">
        <v>23</v>
      </c>
      <c r="H6" s="32" t="b">
        <v>0</v>
      </c>
      <c r="I6" s="23" t="s">
        <v>25</v>
      </c>
      <c r="J6" s="7" t="s">
        <v>127</v>
      </c>
      <c r="K6" s="7" t="s">
        <v>128</v>
      </c>
      <c r="L6" s="7" t="s">
        <v>125</v>
      </c>
      <c r="M6" s="7" t="s">
        <v>20</v>
      </c>
    </row>
    <row r="7" spans="1:13" x14ac:dyDescent="0.35">
      <c r="A7" t="s">
        <v>217</v>
      </c>
      <c r="B7" s="28" t="s">
        <v>129</v>
      </c>
      <c r="C7" s="1"/>
      <c r="D7" s="1">
        <v>24</v>
      </c>
      <c r="E7" s="10">
        <v>399</v>
      </c>
      <c r="F7" s="13" t="s">
        <v>93</v>
      </c>
      <c r="G7" s="13" t="s">
        <v>23</v>
      </c>
      <c r="H7" s="32" t="b">
        <v>0</v>
      </c>
      <c r="I7" s="13" t="s">
        <v>25</v>
      </c>
      <c r="J7" s="1" t="s">
        <v>130</v>
      </c>
      <c r="K7" s="1" t="s">
        <v>131</v>
      </c>
      <c r="L7" s="1" t="s">
        <v>125</v>
      </c>
      <c r="M7" s="1" t="s">
        <v>20</v>
      </c>
    </row>
    <row r="8" spans="1:13" x14ac:dyDescent="0.35">
      <c r="A8" t="s">
        <v>217</v>
      </c>
      <c r="B8" s="28" t="s">
        <v>80</v>
      </c>
      <c r="C8" s="7"/>
      <c r="D8" s="7">
        <v>24</v>
      </c>
      <c r="E8" s="9">
        <v>483</v>
      </c>
      <c r="F8" s="23" t="s">
        <v>93</v>
      </c>
      <c r="G8" s="23" t="s">
        <v>23</v>
      </c>
      <c r="H8" s="32" t="b">
        <v>0</v>
      </c>
      <c r="I8" s="23" t="s">
        <v>25</v>
      </c>
      <c r="J8" s="7" t="s">
        <v>132</v>
      </c>
      <c r="K8" s="7" t="s">
        <v>133</v>
      </c>
      <c r="L8" s="7" t="s">
        <v>82</v>
      </c>
      <c r="M8" s="7" t="s">
        <v>20</v>
      </c>
    </row>
    <row r="9" spans="1:13" x14ac:dyDescent="0.35">
      <c r="A9" t="s">
        <v>217</v>
      </c>
      <c r="B9" s="28" t="s">
        <v>64</v>
      </c>
      <c r="C9" s="1"/>
      <c r="D9" s="1">
        <v>24</v>
      </c>
      <c r="E9" s="10">
        <v>688</v>
      </c>
      <c r="F9" s="13" t="s">
        <v>93</v>
      </c>
      <c r="G9" s="13" t="s">
        <v>23</v>
      </c>
      <c r="H9" s="32" t="b">
        <v>0</v>
      </c>
      <c r="I9" s="13" t="s">
        <v>25</v>
      </c>
      <c r="J9" s="1" t="s">
        <v>134</v>
      </c>
      <c r="K9" s="1" t="s">
        <v>135</v>
      </c>
      <c r="L9" s="1" t="s">
        <v>69</v>
      </c>
      <c r="M9" s="1" t="s">
        <v>20</v>
      </c>
    </row>
    <row r="10" spans="1:13" x14ac:dyDescent="0.35">
      <c r="A10" t="s">
        <v>218</v>
      </c>
      <c r="B10" s="28" t="s">
        <v>13</v>
      </c>
      <c r="C10" s="7" t="s">
        <v>58</v>
      </c>
      <c r="D10" s="7">
        <v>24</v>
      </c>
      <c r="E10" s="9">
        <v>52</v>
      </c>
      <c r="F10" s="23" t="s">
        <v>93</v>
      </c>
      <c r="G10" s="23" t="s">
        <v>23</v>
      </c>
      <c r="H10" s="32" t="s">
        <v>93</v>
      </c>
      <c r="I10" s="23" t="s">
        <v>23</v>
      </c>
      <c r="J10" s="7" t="s">
        <v>100</v>
      </c>
      <c r="K10" s="7" t="s">
        <v>101</v>
      </c>
      <c r="L10" s="7" t="s">
        <v>15</v>
      </c>
      <c r="M10" s="7" t="s">
        <v>16</v>
      </c>
    </row>
    <row r="11" spans="1:13" x14ac:dyDescent="0.35">
      <c r="A11" t="s">
        <v>218</v>
      </c>
      <c r="B11" s="28" t="s">
        <v>24</v>
      </c>
      <c r="C11" s="1" t="s">
        <v>29</v>
      </c>
      <c r="D11" s="1">
        <v>24</v>
      </c>
      <c r="E11" s="10">
        <v>57</v>
      </c>
      <c r="F11" s="13" t="s">
        <v>93</v>
      </c>
      <c r="G11" s="13" t="s">
        <v>23</v>
      </c>
      <c r="H11" s="32" t="s">
        <v>93</v>
      </c>
      <c r="I11" s="13" t="s">
        <v>23</v>
      </c>
      <c r="J11" s="1" t="s">
        <v>119</v>
      </c>
      <c r="K11" s="1" t="s">
        <v>120</v>
      </c>
      <c r="L11" s="1" t="s">
        <v>120</v>
      </c>
      <c r="M11" s="1" t="s">
        <v>121</v>
      </c>
    </row>
    <row r="12" spans="1:13" x14ac:dyDescent="0.35">
      <c r="A12" t="s">
        <v>218</v>
      </c>
      <c r="B12" s="28" t="s">
        <v>17</v>
      </c>
      <c r="C12" s="7" t="s">
        <v>59</v>
      </c>
      <c r="D12" s="7">
        <v>24</v>
      </c>
      <c r="E12" s="9">
        <v>154</v>
      </c>
      <c r="F12" s="23" t="s">
        <v>93</v>
      </c>
      <c r="G12" s="23" t="s">
        <v>23</v>
      </c>
      <c r="H12" s="32" t="s">
        <v>93</v>
      </c>
      <c r="I12" s="23" t="s">
        <v>23</v>
      </c>
      <c r="J12" s="7" t="s">
        <v>102</v>
      </c>
      <c r="K12" s="7" t="s">
        <v>103</v>
      </c>
      <c r="L12" s="7" t="s">
        <v>19</v>
      </c>
      <c r="M12" s="7" t="s">
        <v>20</v>
      </c>
    </row>
    <row r="13" spans="1:13" x14ac:dyDescent="0.35">
      <c r="A13" t="s">
        <v>218</v>
      </c>
      <c r="B13" s="28" t="s">
        <v>21</v>
      </c>
      <c r="C13" s="1" t="s">
        <v>18</v>
      </c>
      <c r="D13" s="1">
        <v>24</v>
      </c>
      <c r="E13" s="10">
        <v>183</v>
      </c>
      <c r="F13" s="13" t="s">
        <v>93</v>
      </c>
      <c r="G13" s="13" t="s">
        <v>23</v>
      </c>
      <c r="H13" s="32" t="s">
        <v>93</v>
      </c>
      <c r="I13" s="13" t="s">
        <v>23</v>
      </c>
      <c r="J13" s="1" t="s">
        <v>102</v>
      </c>
      <c r="K13" s="1" t="s">
        <v>103</v>
      </c>
      <c r="L13" s="1" t="s">
        <v>19</v>
      </c>
      <c r="M13" s="1" t="s">
        <v>20</v>
      </c>
    </row>
    <row r="14" spans="1:13" x14ac:dyDescent="0.35">
      <c r="A14" t="s">
        <v>218</v>
      </c>
      <c r="B14" s="28" t="s">
        <v>60</v>
      </c>
      <c r="C14" s="7" t="s">
        <v>29</v>
      </c>
      <c r="D14" s="7">
        <v>24</v>
      </c>
      <c r="E14" s="9">
        <v>230</v>
      </c>
      <c r="F14" s="23" t="b">
        <v>0</v>
      </c>
      <c r="G14" s="23" t="s">
        <v>25</v>
      </c>
      <c r="H14" s="32" t="s">
        <v>93</v>
      </c>
      <c r="I14" s="23" t="s">
        <v>23</v>
      </c>
      <c r="J14" s="7" t="s">
        <v>179</v>
      </c>
      <c r="K14" s="7" t="s">
        <v>180</v>
      </c>
      <c r="L14" s="7" t="s">
        <v>66</v>
      </c>
      <c r="M14" s="7" t="s">
        <v>16</v>
      </c>
    </row>
    <row r="15" spans="1:13" x14ac:dyDescent="0.35">
      <c r="A15" t="s">
        <v>218</v>
      </c>
      <c r="B15" s="28" t="s">
        <v>61</v>
      </c>
      <c r="C15" s="1" t="s">
        <v>62</v>
      </c>
      <c r="D15" s="1">
        <v>24</v>
      </c>
      <c r="E15" s="10">
        <v>258</v>
      </c>
      <c r="F15" s="13" t="b">
        <v>0</v>
      </c>
      <c r="G15" s="13" t="s">
        <v>25</v>
      </c>
      <c r="H15" s="32" t="s">
        <v>93</v>
      </c>
      <c r="I15" s="13" t="s">
        <v>23</v>
      </c>
      <c r="J15" s="1" t="s">
        <v>177</v>
      </c>
      <c r="K15" s="1" t="s">
        <v>181</v>
      </c>
      <c r="L15" s="1" t="s">
        <v>67</v>
      </c>
      <c r="M15" s="1" t="s">
        <v>31</v>
      </c>
    </row>
    <row r="16" spans="1:13" x14ac:dyDescent="0.35">
      <c r="A16" t="s">
        <v>218</v>
      </c>
      <c r="B16" s="28" t="s">
        <v>80</v>
      </c>
      <c r="C16" s="7"/>
      <c r="D16" s="7">
        <v>24</v>
      </c>
      <c r="E16" s="9">
        <v>483</v>
      </c>
      <c r="F16" s="23" t="s">
        <v>93</v>
      </c>
      <c r="G16" s="23" t="s">
        <v>23</v>
      </c>
      <c r="H16" s="32" t="b">
        <v>0</v>
      </c>
      <c r="I16" s="23" t="s">
        <v>25</v>
      </c>
      <c r="J16" s="7" t="s">
        <v>132</v>
      </c>
      <c r="K16" s="7" t="s">
        <v>133</v>
      </c>
      <c r="L16" s="7" t="s">
        <v>82</v>
      </c>
      <c r="M16" s="7" t="s">
        <v>20</v>
      </c>
    </row>
    <row r="17" spans="1:13" x14ac:dyDescent="0.35">
      <c r="A17" t="s">
        <v>218</v>
      </c>
      <c r="B17" s="28" t="s">
        <v>63</v>
      </c>
      <c r="C17" s="1" t="s">
        <v>27</v>
      </c>
      <c r="D17" s="1">
        <v>24</v>
      </c>
      <c r="E17" s="10">
        <v>510</v>
      </c>
      <c r="F17" s="13" t="b">
        <v>0</v>
      </c>
      <c r="G17" s="13" t="s">
        <v>25</v>
      </c>
      <c r="H17" s="32" t="s">
        <v>93</v>
      </c>
      <c r="I17" s="13" t="s">
        <v>23</v>
      </c>
      <c r="J17" s="1" t="s">
        <v>182</v>
      </c>
      <c r="K17" s="1" t="s">
        <v>183</v>
      </c>
      <c r="L17" s="1" t="s">
        <v>68</v>
      </c>
      <c r="M17" s="1" t="s">
        <v>31</v>
      </c>
    </row>
    <row r="18" spans="1:13" x14ac:dyDescent="0.35">
      <c r="A18" t="s">
        <v>218</v>
      </c>
      <c r="B18" s="28" t="s">
        <v>64</v>
      </c>
      <c r="C18" s="7" t="s">
        <v>59</v>
      </c>
      <c r="D18" s="7">
        <v>24</v>
      </c>
      <c r="E18" s="9">
        <v>688</v>
      </c>
      <c r="F18" s="23" t="s">
        <v>93</v>
      </c>
      <c r="G18" s="23" t="s">
        <v>23</v>
      </c>
      <c r="H18" s="32" t="s">
        <v>93</v>
      </c>
      <c r="I18" s="23" t="s">
        <v>23</v>
      </c>
      <c r="J18" s="7" t="s">
        <v>134</v>
      </c>
      <c r="K18" s="7" t="s">
        <v>135</v>
      </c>
      <c r="L18" s="7" t="s">
        <v>69</v>
      </c>
      <c r="M18" s="7" t="s">
        <v>20</v>
      </c>
    </row>
    <row r="19" spans="1:13" x14ac:dyDescent="0.35">
      <c r="A19" t="s">
        <v>218</v>
      </c>
      <c r="B19" s="28" t="s">
        <v>65</v>
      </c>
      <c r="C19" s="1" t="s">
        <v>59</v>
      </c>
      <c r="D19" s="1">
        <v>24</v>
      </c>
      <c r="E19" s="10">
        <v>772</v>
      </c>
      <c r="F19" s="13" t="b">
        <v>0</v>
      </c>
      <c r="G19" s="13" t="s">
        <v>95</v>
      </c>
      <c r="H19" s="32" t="s">
        <v>93</v>
      </c>
      <c r="I19" s="13" t="s">
        <v>96</v>
      </c>
      <c r="J19" s="1" t="s">
        <v>184</v>
      </c>
      <c r="K19" s="1" t="s">
        <v>185</v>
      </c>
      <c r="L19" s="1" t="s">
        <v>70</v>
      </c>
      <c r="M19" s="1" t="s">
        <v>16</v>
      </c>
    </row>
    <row r="20" spans="1:13" x14ac:dyDescent="0.35">
      <c r="A20" t="s">
        <v>219</v>
      </c>
      <c r="B20" s="28" t="s">
        <v>13</v>
      </c>
      <c r="C20" s="7" t="s">
        <v>42</v>
      </c>
      <c r="D20" s="7">
        <v>24</v>
      </c>
      <c r="E20" s="9">
        <v>52</v>
      </c>
      <c r="F20" s="23" t="s">
        <v>93</v>
      </c>
      <c r="G20" s="23" t="s">
        <v>23</v>
      </c>
      <c r="H20" s="32" t="s">
        <v>93</v>
      </c>
      <c r="I20" s="23" t="s">
        <v>23</v>
      </c>
      <c r="J20" s="7" t="s">
        <v>100</v>
      </c>
      <c r="K20" s="7" t="s">
        <v>101</v>
      </c>
      <c r="L20" s="7" t="s">
        <v>15</v>
      </c>
      <c r="M20" s="7" t="s">
        <v>16</v>
      </c>
    </row>
    <row r="21" spans="1:13" x14ac:dyDescent="0.35">
      <c r="A21" t="s">
        <v>219</v>
      </c>
      <c r="B21" s="28" t="s">
        <v>24</v>
      </c>
      <c r="C21" s="1" t="s">
        <v>27</v>
      </c>
      <c r="D21" s="1">
        <v>24</v>
      </c>
      <c r="E21" s="10">
        <v>57</v>
      </c>
      <c r="F21" s="13" t="s">
        <v>93</v>
      </c>
      <c r="G21" s="13" t="s">
        <v>23</v>
      </c>
      <c r="H21" s="32" t="s">
        <v>93</v>
      </c>
      <c r="I21" s="13" t="s">
        <v>23</v>
      </c>
      <c r="J21" s="1" t="s">
        <v>119</v>
      </c>
      <c r="K21" s="1" t="s">
        <v>120</v>
      </c>
      <c r="L21" s="1" t="s">
        <v>120</v>
      </c>
      <c r="M21" s="1" t="s">
        <v>121</v>
      </c>
    </row>
    <row r="22" spans="1:13" x14ac:dyDescent="0.35">
      <c r="A22" t="s">
        <v>219</v>
      </c>
      <c r="B22" s="28" t="s">
        <v>17</v>
      </c>
      <c r="C22" s="7" t="s">
        <v>59</v>
      </c>
      <c r="D22" s="7">
        <v>24</v>
      </c>
      <c r="E22" s="9">
        <v>154</v>
      </c>
      <c r="F22" s="23" t="s">
        <v>93</v>
      </c>
      <c r="G22" s="23" t="s">
        <v>23</v>
      </c>
      <c r="H22" s="32" t="s">
        <v>93</v>
      </c>
      <c r="I22" s="23" t="s">
        <v>23</v>
      </c>
      <c r="J22" s="7" t="s">
        <v>102</v>
      </c>
      <c r="K22" s="7" t="s">
        <v>103</v>
      </c>
      <c r="L22" s="7" t="s">
        <v>19</v>
      </c>
      <c r="M22" s="7" t="s">
        <v>20</v>
      </c>
    </row>
    <row r="23" spans="1:13" x14ac:dyDescent="0.35">
      <c r="A23" t="s">
        <v>219</v>
      </c>
      <c r="B23" s="28" t="s">
        <v>21</v>
      </c>
      <c r="C23" s="1" t="s">
        <v>59</v>
      </c>
      <c r="D23" s="1">
        <v>24</v>
      </c>
      <c r="E23" s="10">
        <v>183</v>
      </c>
      <c r="F23" s="13" t="s">
        <v>93</v>
      </c>
      <c r="G23" s="13" t="s">
        <v>23</v>
      </c>
      <c r="H23" s="32" t="s">
        <v>93</v>
      </c>
      <c r="I23" s="13" t="s">
        <v>23</v>
      </c>
      <c r="J23" s="1" t="s">
        <v>102</v>
      </c>
      <c r="K23" s="1" t="s">
        <v>103</v>
      </c>
      <c r="L23" s="1" t="s">
        <v>19</v>
      </c>
      <c r="M23" s="1" t="s">
        <v>20</v>
      </c>
    </row>
    <row r="24" spans="1:13" x14ac:dyDescent="0.35">
      <c r="A24" t="s">
        <v>219</v>
      </c>
      <c r="B24" s="28" t="s">
        <v>60</v>
      </c>
      <c r="C24" s="7" t="s">
        <v>27</v>
      </c>
      <c r="D24" s="7">
        <v>24</v>
      </c>
      <c r="E24" s="9">
        <v>230</v>
      </c>
      <c r="F24" s="23" t="b">
        <v>0</v>
      </c>
      <c r="G24" s="23" t="s">
        <v>95</v>
      </c>
      <c r="H24" s="32" t="s">
        <v>93</v>
      </c>
      <c r="I24" s="23" t="s">
        <v>96</v>
      </c>
      <c r="J24" s="7" t="s">
        <v>179</v>
      </c>
      <c r="K24" s="7" t="s">
        <v>180</v>
      </c>
      <c r="L24" s="7" t="s">
        <v>66</v>
      </c>
      <c r="M24" s="7" t="s">
        <v>16</v>
      </c>
    </row>
    <row r="25" spans="1:13" x14ac:dyDescent="0.35">
      <c r="A25" t="s">
        <v>219</v>
      </c>
      <c r="B25" s="28" t="s">
        <v>78</v>
      </c>
      <c r="C25" s="1" t="s">
        <v>59</v>
      </c>
      <c r="D25" s="1">
        <v>24</v>
      </c>
      <c r="E25" s="10">
        <v>231</v>
      </c>
      <c r="F25" s="13" t="b">
        <v>0</v>
      </c>
      <c r="G25" s="13" t="s">
        <v>95</v>
      </c>
      <c r="H25" s="32" t="s">
        <v>93</v>
      </c>
      <c r="I25" s="13" t="s">
        <v>96</v>
      </c>
      <c r="J25" s="1" t="s">
        <v>180</v>
      </c>
      <c r="K25" s="1" t="s">
        <v>188</v>
      </c>
      <c r="L25" s="1" t="s">
        <v>66</v>
      </c>
      <c r="M25" s="2" t="s">
        <v>16</v>
      </c>
    </row>
    <row r="26" spans="1:13" x14ac:dyDescent="0.35">
      <c r="A26" t="s">
        <v>219</v>
      </c>
      <c r="B26" s="28" t="s">
        <v>61</v>
      </c>
      <c r="C26" s="7" t="s">
        <v>37</v>
      </c>
      <c r="D26" s="7">
        <v>24</v>
      </c>
      <c r="E26" s="9">
        <v>258</v>
      </c>
      <c r="F26" s="23" t="b">
        <v>0</v>
      </c>
      <c r="G26" s="23" t="s">
        <v>25</v>
      </c>
      <c r="H26" s="32" t="s">
        <v>93</v>
      </c>
      <c r="I26" s="23" t="s">
        <v>23</v>
      </c>
      <c r="J26" s="7" t="s">
        <v>177</v>
      </c>
      <c r="K26" s="7" t="s">
        <v>181</v>
      </c>
      <c r="L26" s="7" t="s">
        <v>67</v>
      </c>
      <c r="M26" s="7" t="s">
        <v>31</v>
      </c>
    </row>
    <row r="27" spans="1:13" x14ac:dyDescent="0.35">
      <c r="A27" t="s">
        <v>219</v>
      </c>
      <c r="B27" s="28" t="s">
        <v>79</v>
      </c>
      <c r="C27" s="1" t="s">
        <v>30</v>
      </c>
      <c r="D27" s="1">
        <v>24</v>
      </c>
      <c r="E27" s="10">
        <v>359</v>
      </c>
      <c r="F27" s="13" t="b">
        <v>0</v>
      </c>
      <c r="G27" s="13" t="s">
        <v>25</v>
      </c>
      <c r="H27" s="32" t="s">
        <v>93</v>
      </c>
      <c r="I27" s="13" t="s">
        <v>23</v>
      </c>
      <c r="J27" s="1" t="s">
        <v>189</v>
      </c>
      <c r="K27" s="1" t="s">
        <v>190</v>
      </c>
      <c r="L27" s="1" t="s">
        <v>81</v>
      </c>
      <c r="M27" s="2" t="s">
        <v>20</v>
      </c>
    </row>
    <row r="28" spans="1:13" x14ac:dyDescent="0.35">
      <c r="A28" t="s">
        <v>219</v>
      </c>
      <c r="B28" s="28" t="s">
        <v>80</v>
      </c>
      <c r="C28" s="7" t="s">
        <v>22</v>
      </c>
      <c r="D28" s="7">
        <v>24</v>
      </c>
      <c r="E28" s="9">
        <v>483</v>
      </c>
      <c r="F28" s="23" t="s">
        <v>93</v>
      </c>
      <c r="G28" s="23" t="s">
        <v>23</v>
      </c>
      <c r="H28" s="32" t="s">
        <v>93</v>
      </c>
      <c r="I28" s="23" t="s">
        <v>23</v>
      </c>
      <c r="J28" s="7" t="s">
        <v>132</v>
      </c>
      <c r="K28" s="7" t="s">
        <v>133</v>
      </c>
      <c r="L28" s="7" t="s">
        <v>82</v>
      </c>
      <c r="M28" s="7" t="s">
        <v>20</v>
      </c>
    </row>
    <row r="29" spans="1:13" x14ac:dyDescent="0.35">
      <c r="A29" t="s">
        <v>219</v>
      </c>
      <c r="B29" s="28" t="s">
        <v>63</v>
      </c>
      <c r="C29" s="1" t="s">
        <v>30</v>
      </c>
      <c r="D29" s="1">
        <v>24</v>
      </c>
      <c r="E29" s="10">
        <v>510</v>
      </c>
      <c r="F29" s="13" t="b">
        <v>0</v>
      </c>
      <c r="G29" s="13" t="s">
        <v>25</v>
      </c>
      <c r="H29" s="32" t="s">
        <v>93</v>
      </c>
      <c r="I29" s="13" t="s">
        <v>23</v>
      </c>
      <c r="J29" s="1" t="s">
        <v>182</v>
      </c>
      <c r="K29" s="1" t="s">
        <v>183</v>
      </c>
      <c r="L29" s="1" t="s">
        <v>68</v>
      </c>
      <c r="M29" s="1" t="s">
        <v>31</v>
      </c>
    </row>
    <row r="30" spans="1:13" x14ac:dyDescent="0.35">
      <c r="A30" t="s">
        <v>219</v>
      </c>
      <c r="B30" s="28" t="s">
        <v>64</v>
      </c>
      <c r="C30" s="7" t="s">
        <v>59</v>
      </c>
      <c r="D30" s="7">
        <v>24</v>
      </c>
      <c r="E30" s="9">
        <v>688</v>
      </c>
      <c r="F30" s="23" t="s">
        <v>93</v>
      </c>
      <c r="G30" s="23" t="s">
        <v>23</v>
      </c>
      <c r="H30" s="32" t="s">
        <v>93</v>
      </c>
      <c r="I30" s="23" t="s">
        <v>23</v>
      </c>
      <c r="J30" s="7" t="s">
        <v>134</v>
      </c>
      <c r="K30" s="7" t="s">
        <v>135</v>
      </c>
      <c r="L30" s="7" t="s">
        <v>69</v>
      </c>
      <c r="M30" s="7" t="s">
        <v>20</v>
      </c>
    </row>
    <row r="31" spans="1:13" x14ac:dyDescent="0.35">
      <c r="A31" t="s">
        <v>219</v>
      </c>
      <c r="B31" s="28" t="s">
        <v>65</v>
      </c>
      <c r="C31" s="1" t="s">
        <v>59</v>
      </c>
      <c r="D31" s="1">
        <v>24</v>
      </c>
      <c r="E31" s="10">
        <v>772</v>
      </c>
      <c r="F31" s="13" t="b">
        <v>0</v>
      </c>
      <c r="G31" s="13" t="s">
        <v>95</v>
      </c>
      <c r="H31" s="32" t="s">
        <v>93</v>
      </c>
      <c r="I31" s="13" t="s">
        <v>96</v>
      </c>
      <c r="J31" s="1" t="s">
        <v>184</v>
      </c>
      <c r="K31" s="1" t="s">
        <v>185</v>
      </c>
      <c r="L31" s="1" t="s">
        <v>70</v>
      </c>
      <c r="M31" s="1" t="s">
        <v>16</v>
      </c>
    </row>
    <row r="34" spans="1:9" x14ac:dyDescent="0.35">
      <c r="A34" t="s">
        <v>208</v>
      </c>
      <c r="B34" s="31">
        <f>SUM(B35:B39)</f>
        <v>4020</v>
      </c>
      <c r="E34" s="6"/>
      <c r="F34" s="14"/>
    </row>
    <row r="35" spans="1:9" x14ac:dyDescent="0.35">
      <c r="A35" t="s">
        <v>209</v>
      </c>
      <c r="B35" s="31">
        <v>804</v>
      </c>
      <c r="E35" s="6"/>
      <c r="F35" s="14"/>
    </row>
    <row r="36" spans="1:9" x14ac:dyDescent="0.35">
      <c r="A36" t="s">
        <v>210</v>
      </c>
      <c r="B36" s="31">
        <v>804</v>
      </c>
      <c r="E36" s="6"/>
      <c r="F36" s="14"/>
      <c r="G36" t="s">
        <v>217</v>
      </c>
      <c r="H36" s="31" t="s">
        <v>218</v>
      </c>
      <c r="I36" t="s">
        <v>219</v>
      </c>
    </row>
    <row r="37" spans="1:9" x14ac:dyDescent="0.35">
      <c r="A37" t="s">
        <v>211</v>
      </c>
      <c r="B37" s="31">
        <v>804</v>
      </c>
      <c r="E37" s="6"/>
      <c r="F37" s="13" t="s">
        <v>93</v>
      </c>
      <c r="G37">
        <f>COUNTIF(H2:H9,F37)</f>
        <v>3</v>
      </c>
      <c r="H37" s="31">
        <f>COUNTIF(H10:H19,F37)</f>
        <v>9</v>
      </c>
      <c r="I37">
        <f>COUNTIF(H20:H31,F37)</f>
        <v>12</v>
      </c>
    </row>
    <row r="38" spans="1:9" x14ac:dyDescent="0.35">
      <c r="A38" t="s">
        <v>212</v>
      </c>
      <c r="B38" s="31">
        <v>804</v>
      </c>
      <c r="E38" s="6"/>
      <c r="F38" s="13" t="b">
        <v>0</v>
      </c>
      <c r="G38">
        <f>COUNTIF(H2:H9,F38)</f>
        <v>5</v>
      </c>
      <c r="H38" s="31">
        <f>COUNTIF(H10:H19,F38)</f>
        <v>1</v>
      </c>
      <c r="I38">
        <f>COUNTIF(H20:H31,F38)</f>
        <v>0</v>
      </c>
    </row>
    <row r="39" spans="1:9" x14ac:dyDescent="0.35">
      <c r="A39" t="s">
        <v>213</v>
      </c>
      <c r="B39" s="31">
        <v>804</v>
      </c>
      <c r="E39" s="6"/>
      <c r="F39" s="14" t="s">
        <v>23</v>
      </c>
      <c r="G39">
        <f>COUNTIF(I2:I9,F39)</f>
        <v>3</v>
      </c>
      <c r="H39" s="31">
        <f>COUNTIF(I10:I19,F39)</f>
        <v>8</v>
      </c>
      <c r="I39">
        <f>COUNTIF(I20:I31,F39)</f>
        <v>9</v>
      </c>
    </row>
    <row r="40" spans="1:9" x14ac:dyDescent="0.35">
      <c r="E40" s="6"/>
      <c r="F40" s="14" t="s">
        <v>95</v>
      </c>
      <c r="G40">
        <f>COUNTIF(I2:I9,F40)</f>
        <v>0</v>
      </c>
      <c r="H40" s="31">
        <f>COUNTIF(I10:I19,F40)</f>
        <v>0</v>
      </c>
      <c r="I40">
        <f>COUNTIF(I20:I31,F40)</f>
        <v>0</v>
      </c>
    </row>
    <row r="41" spans="1:9" x14ac:dyDescent="0.35">
      <c r="E41" s="6"/>
      <c r="F41" s="14" t="s">
        <v>96</v>
      </c>
      <c r="G41">
        <f>COUNTIF(I2:I9,F41)</f>
        <v>0</v>
      </c>
      <c r="H41" s="31">
        <f>COUNTIF(I10:I19,F41)</f>
        <v>1</v>
      </c>
      <c r="I41">
        <f>COUNTIF(I20:I31,F41)</f>
        <v>3</v>
      </c>
    </row>
    <row r="42" spans="1:9" x14ac:dyDescent="0.35">
      <c r="E42" s="6"/>
      <c r="F42" s="13" t="s">
        <v>25</v>
      </c>
      <c r="G42">
        <f>COUNTIF(I2:I9,F42)</f>
        <v>5</v>
      </c>
      <c r="H42" s="31">
        <f>COUNTIF(I10:I19,F42)</f>
        <v>1</v>
      </c>
      <c r="I42">
        <f>COUNTIF(I20:I31,F42)</f>
        <v>0</v>
      </c>
    </row>
    <row r="43" spans="1:9" x14ac:dyDescent="0.35">
      <c r="E43" s="6"/>
      <c r="F43" s="14"/>
    </row>
    <row r="44" spans="1:9" x14ac:dyDescent="0.35">
      <c r="E44" s="6"/>
      <c r="F44" s="14" t="s">
        <v>202</v>
      </c>
      <c r="G44">
        <f>SUM(G37, G38)</f>
        <v>8</v>
      </c>
      <c r="H44" s="31">
        <f>SUM(H37:H38)</f>
        <v>10</v>
      </c>
      <c r="I44">
        <f>SUM(I37:I38)</f>
        <v>12</v>
      </c>
    </row>
    <row r="45" spans="1:9" x14ac:dyDescent="0.35">
      <c r="E45" s="6"/>
      <c r="F45" s="14" t="s">
        <v>203</v>
      </c>
      <c r="G45">
        <f>SUM(G39, G40, G41, G42)</f>
        <v>8</v>
      </c>
      <c r="H45" s="31">
        <f>SUM(H39:H42)</f>
        <v>10</v>
      </c>
      <c r="I45">
        <f>SUM(I39:I42)</f>
        <v>12</v>
      </c>
    </row>
    <row r="46" spans="1:9" x14ac:dyDescent="0.35">
      <c r="E46" s="6"/>
      <c r="F46" s="14"/>
    </row>
    <row r="47" spans="1:9" x14ac:dyDescent="0.35">
      <c r="A47" t="s">
        <v>215</v>
      </c>
      <c r="E47" s="6"/>
      <c r="F47" s="14" t="s">
        <v>204</v>
      </c>
      <c r="G47" s="24">
        <f>G39/(G39+G42)</f>
        <v>0.375</v>
      </c>
      <c r="H47" s="33">
        <f>H39/(H39+H42)</f>
        <v>0.88888888888888884</v>
      </c>
      <c r="I47" s="24">
        <f>I39/(I39+I42)</f>
        <v>1</v>
      </c>
    </row>
    <row r="48" spans="1:9" x14ac:dyDescent="0.35">
      <c r="A48" t="s">
        <v>207</v>
      </c>
      <c r="E48" s="6"/>
      <c r="F48" s="14" t="s">
        <v>205</v>
      </c>
      <c r="G48" s="24">
        <f>G39/(G39+G41)</f>
        <v>1</v>
      </c>
      <c r="H48" s="33">
        <f>H39/(H39+H41)</f>
        <v>0.88888888888888884</v>
      </c>
      <c r="I48" s="24">
        <f>I39/(I39+I41)</f>
        <v>0.75</v>
      </c>
    </row>
    <row r="49" spans="5:9" x14ac:dyDescent="0.35">
      <c r="E49" s="6"/>
      <c r="F49" s="14"/>
    </row>
    <row r="50" spans="5:9" x14ac:dyDescent="0.35">
      <c r="F50" s="14" t="s">
        <v>206</v>
      </c>
      <c r="G50" s="24">
        <f>G37/B35</f>
        <v>3.7313432835820895E-3</v>
      </c>
      <c r="H50" s="33">
        <f>H37/B35</f>
        <v>1.1194029850746268E-2</v>
      </c>
      <c r="I50" s="24">
        <f>I37/B35</f>
        <v>1.4925373134328358E-2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0FBC-2EE9-48B9-A74E-F5CB6AAB06BD}">
  <dimension ref="A1:M35"/>
  <sheetViews>
    <sheetView workbookViewId="0">
      <selection activeCell="F1" sqref="F1"/>
    </sheetView>
  </sheetViews>
  <sheetFormatPr defaultRowHeight="14.5" x14ac:dyDescent="0.35"/>
  <cols>
    <col min="1" max="1" width="9.26953125" customWidth="1"/>
    <col min="2" max="2" width="9.26953125" style="31" customWidth="1"/>
    <col min="3" max="3" width="5.54296875" customWidth="1"/>
    <col min="4" max="4" width="7.81640625" customWidth="1"/>
    <col min="5" max="5" width="6.54296875" customWidth="1"/>
    <col min="6" max="6" width="13.08984375" customWidth="1"/>
    <col min="7" max="7" width="16.26953125" customWidth="1"/>
    <col min="8" max="8" width="18.81640625" customWidth="1"/>
    <col min="9" max="9" width="22.90625" customWidth="1"/>
    <col min="10" max="11" width="8.90625" customWidth="1"/>
    <col min="12" max="12" width="16.6328125" customWidth="1"/>
    <col min="13" max="13" width="14.1796875" customWidth="1"/>
  </cols>
  <sheetData>
    <row r="1" spans="1:13" x14ac:dyDescent="0.35">
      <c r="A1" s="3" t="s">
        <v>216</v>
      </c>
      <c r="B1" s="29" t="s">
        <v>1</v>
      </c>
      <c r="C1" s="4" t="s">
        <v>231</v>
      </c>
      <c r="D1" s="4" t="s">
        <v>3</v>
      </c>
      <c r="E1" s="36" t="s">
        <v>4</v>
      </c>
      <c r="F1" s="36" t="s">
        <v>5</v>
      </c>
      <c r="G1" s="4" t="s">
        <v>6</v>
      </c>
      <c r="H1" s="29" t="s">
        <v>230</v>
      </c>
      <c r="I1" s="4" t="s">
        <v>229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s="31" t="s">
        <v>217</v>
      </c>
      <c r="B2" s="28" t="s">
        <v>71</v>
      </c>
      <c r="C2" s="28"/>
      <c r="D2" s="28">
        <v>1</v>
      </c>
      <c r="E2" s="34">
        <v>41</v>
      </c>
      <c r="F2" s="32" t="s">
        <v>93</v>
      </c>
      <c r="G2" s="32" t="s">
        <v>23</v>
      </c>
      <c r="H2" s="32" t="b">
        <v>0</v>
      </c>
      <c r="I2" s="32" t="s">
        <v>25</v>
      </c>
      <c r="J2" s="28" t="s">
        <v>136</v>
      </c>
      <c r="K2" s="28" t="s">
        <v>137</v>
      </c>
      <c r="L2" s="28" t="s">
        <v>137</v>
      </c>
      <c r="M2" s="28" t="s">
        <v>121</v>
      </c>
    </row>
    <row r="3" spans="1:13" x14ac:dyDescent="0.35">
      <c r="A3" s="31" t="s">
        <v>217</v>
      </c>
      <c r="B3" s="28" t="s">
        <v>138</v>
      </c>
      <c r="C3" s="28"/>
      <c r="D3" s="28">
        <v>1</v>
      </c>
      <c r="E3" s="34">
        <v>135</v>
      </c>
      <c r="F3" s="32" t="s">
        <v>93</v>
      </c>
      <c r="G3" s="32" t="s">
        <v>23</v>
      </c>
      <c r="H3" s="32" t="b">
        <v>0</v>
      </c>
      <c r="I3" s="32" t="s">
        <v>25</v>
      </c>
      <c r="J3" s="28" t="s">
        <v>139</v>
      </c>
      <c r="K3" s="28" t="s">
        <v>140</v>
      </c>
      <c r="L3" s="28" t="s">
        <v>141</v>
      </c>
      <c r="M3" s="28" t="s">
        <v>121</v>
      </c>
    </row>
    <row r="4" spans="1:13" x14ac:dyDescent="0.35">
      <c r="A4" s="31" t="s">
        <v>217</v>
      </c>
      <c r="B4" s="28" t="s">
        <v>28</v>
      </c>
      <c r="C4" s="28" t="s">
        <v>29</v>
      </c>
      <c r="D4" s="28">
        <v>1</v>
      </c>
      <c r="E4" s="34">
        <v>297</v>
      </c>
      <c r="F4" s="32" t="s">
        <v>93</v>
      </c>
      <c r="G4" s="32" t="s">
        <v>23</v>
      </c>
      <c r="H4" s="32" t="s">
        <v>93</v>
      </c>
      <c r="I4" s="32" t="s">
        <v>23</v>
      </c>
      <c r="J4" s="28" t="s">
        <v>104</v>
      </c>
      <c r="K4" s="28" t="s">
        <v>32</v>
      </c>
      <c r="L4" s="28" t="s">
        <v>32</v>
      </c>
      <c r="M4" s="28" t="s">
        <v>31</v>
      </c>
    </row>
    <row r="5" spans="1:13" x14ac:dyDescent="0.35">
      <c r="A5" s="31" t="s">
        <v>217</v>
      </c>
      <c r="B5" s="28" t="s">
        <v>142</v>
      </c>
      <c r="C5" s="28"/>
      <c r="D5" s="28">
        <v>1</v>
      </c>
      <c r="E5" s="34">
        <v>336</v>
      </c>
      <c r="F5" s="32" t="s">
        <v>93</v>
      </c>
      <c r="G5" s="32" t="s">
        <v>23</v>
      </c>
      <c r="H5" s="32" t="b">
        <v>0</v>
      </c>
      <c r="I5" s="32" t="s">
        <v>25</v>
      </c>
      <c r="J5" s="28" t="s">
        <v>143</v>
      </c>
      <c r="K5" s="28" t="s">
        <v>144</v>
      </c>
      <c r="L5" s="28" t="s">
        <v>145</v>
      </c>
      <c r="M5" s="28" t="s">
        <v>16</v>
      </c>
    </row>
    <row r="6" spans="1:13" x14ac:dyDescent="0.35">
      <c r="A6" s="31" t="s">
        <v>217</v>
      </c>
      <c r="B6" s="28" t="s">
        <v>83</v>
      </c>
      <c r="C6" s="28"/>
      <c r="D6" s="28">
        <v>1</v>
      </c>
      <c r="E6" s="34">
        <v>583</v>
      </c>
      <c r="F6" s="32" t="s">
        <v>93</v>
      </c>
      <c r="G6" s="32" t="s">
        <v>23</v>
      </c>
      <c r="H6" s="32" t="b">
        <v>0</v>
      </c>
      <c r="I6" s="32" t="s">
        <v>25</v>
      </c>
      <c r="J6" s="28" t="s">
        <v>146</v>
      </c>
      <c r="K6" s="28" t="s">
        <v>147</v>
      </c>
      <c r="L6" s="28" t="s">
        <v>84</v>
      </c>
      <c r="M6" s="28" t="s">
        <v>20</v>
      </c>
    </row>
    <row r="7" spans="1:13" x14ac:dyDescent="0.35">
      <c r="A7" s="31" t="s">
        <v>218</v>
      </c>
      <c r="B7" s="28" t="s">
        <v>71</v>
      </c>
      <c r="C7" s="28" t="s">
        <v>37</v>
      </c>
      <c r="D7" s="28">
        <v>1</v>
      </c>
      <c r="E7" s="34">
        <v>41</v>
      </c>
      <c r="F7" s="32" t="s">
        <v>93</v>
      </c>
      <c r="G7" s="32" t="s">
        <v>23</v>
      </c>
      <c r="H7" s="32" t="s">
        <v>93</v>
      </c>
      <c r="I7" s="32" t="s">
        <v>23</v>
      </c>
      <c r="J7" s="28" t="s">
        <v>136</v>
      </c>
      <c r="K7" s="28" t="s">
        <v>137</v>
      </c>
      <c r="L7" s="28" t="s">
        <v>72</v>
      </c>
      <c r="M7" s="28" t="s">
        <v>31</v>
      </c>
    </row>
    <row r="8" spans="1:13" x14ac:dyDescent="0.35">
      <c r="A8" s="31" t="s">
        <v>218</v>
      </c>
      <c r="B8" s="28" t="s">
        <v>138</v>
      </c>
      <c r="C8" s="28"/>
      <c r="D8" s="28">
        <v>1</v>
      </c>
      <c r="E8" s="34">
        <v>135</v>
      </c>
      <c r="F8" s="32" t="s">
        <v>93</v>
      </c>
      <c r="G8" s="32" t="s">
        <v>23</v>
      </c>
      <c r="H8" s="32" t="b">
        <v>0</v>
      </c>
      <c r="I8" s="32" t="s">
        <v>25</v>
      </c>
      <c r="J8" s="28" t="s">
        <v>139</v>
      </c>
      <c r="K8" s="28" t="s">
        <v>140</v>
      </c>
      <c r="L8" s="28" t="s">
        <v>141</v>
      </c>
      <c r="M8" s="28" t="s">
        <v>121</v>
      </c>
    </row>
    <row r="9" spans="1:13" x14ac:dyDescent="0.35">
      <c r="A9" s="31" t="s">
        <v>218</v>
      </c>
      <c r="B9" s="28" t="s">
        <v>28</v>
      </c>
      <c r="C9" s="28" t="s">
        <v>27</v>
      </c>
      <c r="D9" s="28">
        <v>1</v>
      </c>
      <c r="E9" s="34">
        <v>297</v>
      </c>
      <c r="F9" s="32" t="s">
        <v>93</v>
      </c>
      <c r="G9" s="32" t="s">
        <v>23</v>
      </c>
      <c r="H9" s="32" t="s">
        <v>93</v>
      </c>
      <c r="I9" s="32" t="s">
        <v>23</v>
      </c>
      <c r="J9" s="28" t="s">
        <v>104</v>
      </c>
      <c r="K9" s="28" t="s">
        <v>32</v>
      </c>
      <c r="L9" s="28" t="s">
        <v>32</v>
      </c>
      <c r="M9" s="28" t="s">
        <v>31</v>
      </c>
    </row>
    <row r="10" spans="1:13" x14ac:dyDescent="0.35">
      <c r="A10" s="31" t="s">
        <v>218</v>
      </c>
      <c r="B10" s="28" t="s">
        <v>142</v>
      </c>
      <c r="C10" s="28"/>
      <c r="D10" s="28">
        <v>1</v>
      </c>
      <c r="E10" s="34">
        <v>336</v>
      </c>
      <c r="F10" s="32" t="s">
        <v>93</v>
      </c>
      <c r="G10" s="32" t="s">
        <v>23</v>
      </c>
      <c r="H10" s="32" t="b">
        <v>0</v>
      </c>
      <c r="I10" s="32" t="s">
        <v>25</v>
      </c>
      <c r="J10" s="28" t="s">
        <v>143</v>
      </c>
      <c r="K10" s="28" t="s">
        <v>144</v>
      </c>
      <c r="L10" s="28" t="s">
        <v>145</v>
      </c>
      <c r="M10" s="28" t="s">
        <v>16</v>
      </c>
    </row>
    <row r="11" spans="1:13" x14ac:dyDescent="0.35">
      <c r="A11" s="31" t="s">
        <v>218</v>
      </c>
      <c r="B11" s="28" t="s">
        <v>83</v>
      </c>
      <c r="C11" s="28"/>
      <c r="D11" s="28">
        <v>1</v>
      </c>
      <c r="E11" s="34">
        <v>583</v>
      </c>
      <c r="F11" s="32" t="s">
        <v>93</v>
      </c>
      <c r="G11" s="32" t="s">
        <v>23</v>
      </c>
      <c r="H11" s="32" t="b">
        <v>0</v>
      </c>
      <c r="I11" s="32" t="s">
        <v>25</v>
      </c>
      <c r="J11" s="28" t="s">
        <v>146</v>
      </c>
      <c r="K11" s="28" t="s">
        <v>147</v>
      </c>
      <c r="L11" s="28" t="s">
        <v>84</v>
      </c>
      <c r="M11" s="35" t="s">
        <v>20</v>
      </c>
    </row>
    <row r="12" spans="1:13" x14ac:dyDescent="0.35">
      <c r="A12" s="31" t="s">
        <v>219</v>
      </c>
      <c r="B12" s="28" t="s">
        <v>71</v>
      </c>
      <c r="C12" s="28" t="s">
        <v>29</v>
      </c>
      <c r="D12" s="28">
        <v>1</v>
      </c>
      <c r="E12" s="34">
        <v>41</v>
      </c>
      <c r="F12" s="32" t="s">
        <v>93</v>
      </c>
      <c r="G12" s="32" t="s">
        <v>23</v>
      </c>
      <c r="H12" s="32" t="s">
        <v>93</v>
      </c>
      <c r="I12" s="32" t="s">
        <v>23</v>
      </c>
      <c r="J12" s="28" t="s">
        <v>136</v>
      </c>
      <c r="K12" s="28" t="s">
        <v>137</v>
      </c>
      <c r="L12" s="28" t="s">
        <v>72</v>
      </c>
      <c r="M12" s="28" t="s">
        <v>31</v>
      </c>
    </row>
    <row r="13" spans="1:13" x14ac:dyDescent="0.35">
      <c r="A13" s="31" t="s">
        <v>219</v>
      </c>
      <c r="B13" s="28" t="s">
        <v>138</v>
      </c>
      <c r="C13" s="28"/>
      <c r="D13" s="28">
        <v>1</v>
      </c>
      <c r="E13" s="34">
        <v>135</v>
      </c>
      <c r="F13" s="32" t="s">
        <v>93</v>
      </c>
      <c r="G13" s="32" t="s">
        <v>23</v>
      </c>
      <c r="H13" s="32" t="b">
        <v>0</v>
      </c>
      <c r="I13" s="32" t="s">
        <v>25</v>
      </c>
      <c r="J13" s="28" t="s">
        <v>139</v>
      </c>
      <c r="K13" s="28" t="s">
        <v>140</v>
      </c>
      <c r="L13" s="28" t="s">
        <v>141</v>
      </c>
      <c r="M13" s="28" t="s">
        <v>121</v>
      </c>
    </row>
    <row r="14" spans="1:13" x14ac:dyDescent="0.35">
      <c r="A14" s="31" t="s">
        <v>219</v>
      </c>
      <c r="B14" s="28" t="s">
        <v>28</v>
      </c>
      <c r="C14" s="28" t="s">
        <v>30</v>
      </c>
      <c r="D14" s="28">
        <v>1</v>
      </c>
      <c r="E14" s="34">
        <v>297</v>
      </c>
      <c r="F14" s="32" t="s">
        <v>93</v>
      </c>
      <c r="G14" s="32" t="s">
        <v>23</v>
      </c>
      <c r="H14" s="32" t="s">
        <v>93</v>
      </c>
      <c r="I14" s="32" t="s">
        <v>23</v>
      </c>
      <c r="J14" s="28" t="s">
        <v>104</v>
      </c>
      <c r="K14" s="28" t="s">
        <v>32</v>
      </c>
      <c r="L14" s="28" t="s">
        <v>32</v>
      </c>
      <c r="M14" s="28" t="s">
        <v>31</v>
      </c>
    </row>
    <row r="15" spans="1:13" x14ac:dyDescent="0.35">
      <c r="A15" s="31" t="s">
        <v>219</v>
      </c>
      <c r="B15" s="28" t="s">
        <v>142</v>
      </c>
      <c r="C15" s="28"/>
      <c r="D15" s="28">
        <v>1</v>
      </c>
      <c r="E15" s="34">
        <v>336</v>
      </c>
      <c r="F15" s="32" t="s">
        <v>93</v>
      </c>
      <c r="G15" s="32" t="s">
        <v>23</v>
      </c>
      <c r="H15" s="32" t="b">
        <v>0</v>
      </c>
      <c r="I15" s="32" t="s">
        <v>25</v>
      </c>
      <c r="J15" s="28" t="s">
        <v>143</v>
      </c>
      <c r="K15" s="28" t="s">
        <v>144</v>
      </c>
      <c r="L15" s="28" t="s">
        <v>145</v>
      </c>
      <c r="M15" s="28" t="s">
        <v>16</v>
      </c>
    </row>
    <row r="16" spans="1:13" x14ac:dyDescent="0.35">
      <c r="A16" s="31" t="s">
        <v>219</v>
      </c>
      <c r="B16" s="28" t="s">
        <v>83</v>
      </c>
      <c r="C16" s="28" t="s">
        <v>59</v>
      </c>
      <c r="D16" s="28">
        <v>1</v>
      </c>
      <c r="E16" s="34">
        <v>583</v>
      </c>
      <c r="F16" s="32" t="s">
        <v>93</v>
      </c>
      <c r="G16" s="32" t="s">
        <v>23</v>
      </c>
      <c r="H16" s="32" t="s">
        <v>93</v>
      </c>
      <c r="I16" s="32" t="s">
        <v>23</v>
      </c>
      <c r="J16" s="28" t="s">
        <v>146</v>
      </c>
      <c r="K16" s="28" t="s">
        <v>147</v>
      </c>
      <c r="L16" s="28" t="s">
        <v>84</v>
      </c>
      <c r="M16" s="35" t="s">
        <v>20</v>
      </c>
    </row>
    <row r="19" spans="1:9" x14ac:dyDescent="0.35">
      <c r="A19" t="s">
        <v>208</v>
      </c>
      <c r="B19" s="31">
        <f>SUM(B20:B24)</f>
        <v>4020</v>
      </c>
      <c r="E19" s="6"/>
      <c r="F19" s="14"/>
    </row>
    <row r="20" spans="1:9" x14ac:dyDescent="0.35">
      <c r="A20" t="s">
        <v>209</v>
      </c>
      <c r="B20" s="31">
        <v>804</v>
      </c>
      <c r="E20" s="6"/>
      <c r="F20" s="14"/>
    </row>
    <row r="21" spans="1:9" x14ac:dyDescent="0.35">
      <c r="A21" t="s">
        <v>210</v>
      </c>
      <c r="B21" s="31">
        <v>804</v>
      </c>
      <c r="E21" s="6"/>
      <c r="F21" s="14"/>
      <c r="G21" t="s">
        <v>217</v>
      </c>
      <c r="H21" t="s">
        <v>218</v>
      </c>
      <c r="I21" t="s">
        <v>219</v>
      </c>
    </row>
    <row r="22" spans="1:9" x14ac:dyDescent="0.35">
      <c r="A22" t="s">
        <v>211</v>
      </c>
      <c r="B22" s="31">
        <v>804</v>
      </c>
      <c r="E22" s="6"/>
      <c r="F22" s="13" t="s">
        <v>93</v>
      </c>
      <c r="G22">
        <f>COUNTIF(H2:H6,F22)</f>
        <v>1</v>
      </c>
      <c r="H22">
        <f>COUNTIF(H7:H11,F22)</f>
        <v>2</v>
      </c>
      <c r="I22">
        <f>COUNTIF(H12:H16,F22)</f>
        <v>3</v>
      </c>
    </row>
    <row r="23" spans="1:9" x14ac:dyDescent="0.35">
      <c r="A23" t="s">
        <v>212</v>
      </c>
      <c r="B23" s="31">
        <v>804</v>
      </c>
      <c r="E23" s="6"/>
      <c r="F23" s="13" t="b">
        <v>0</v>
      </c>
      <c r="G23">
        <f>COUNTIF(H2:H6,F23)</f>
        <v>4</v>
      </c>
      <c r="H23">
        <f>COUNTIF(H7:H11,F23)</f>
        <v>3</v>
      </c>
      <c r="I23">
        <f>COUNTIF(H12:H16,F23)</f>
        <v>2</v>
      </c>
    </row>
    <row r="24" spans="1:9" x14ac:dyDescent="0.35">
      <c r="A24" t="s">
        <v>213</v>
      </c>
      <c r="B24" s="31">
        <v>804</v>
      </c>
      <c r="E24" s="6"/>
      <c r="F24" s="14" t="s">
        <v>23</v>
      </c>
      <c r="G24">
        <f>COUNTIF(I2:I6,F24)</f>
        <v>1</v>
      </c>
      <c r="H24">
        <f>COUNTIF(I7:I11,F24)</f>
        <v>2</v>
      </c>
      <c r="I24">
        <f>COUNTIF(I12:I16,F24)</f>
        <v>3</v>
      </c>
    </row>
    <row r="25" spans="1:9" x14ac:dyDescent="0.35">
      <c r="E25" s="6"/>
      <c r="F25" s="14" t="s">
        <v>95</v>
      </c>
      <c r="G25">
        <f>COUNTIF(I2:I6,F25)</f>
        <v>0</v>
      </c>
      <c r="H25">
        <f>COUNTIF(I7:I11,F25)</f>
        <v>0</v>
      </c>
      <c r="I25">
        <f>COUNTIF(I12:I16,F25)</f>
        <v>0</v>
      </c>
    </row>
    <row r="26" spans="1:9" x14ac:dyDescent="0.35">
      <c r="E26" s="6"/>
      <c r="F26" s="14" t="s">
        <v>96</v>
      </c>
      <c r="G26">
        <f>COUNTIF(I2:I6,F26)</f>
        <v>0</v>
      </c>
      <c r="H26">
        <f>COUNTIF(I7:I11,F26)</f>
        <v>0</v>
      </c>
      <c r="I26">
        <f>COUNTIF(I12:I16,F26)</f>
        <v>0</v>
      </c>
    </row>
    <row r="27" spans="1:9" x14ac:dyDescent="0.35">
      <c r="E27" s="6"/>
      <c r="F27" s="13" t="s">
        <v>25</v>
      </c>
      <c r="G27">
        <f>COUNTIF(I2:I6,F27)</f>
        <v>4</v>
      </c>
      <c r="H27">
        <f>COUNTIF(I7:I11,F27)</f>
        <v>3</v>
      </c>
      <c r="I27">
        <f>COUNTIF(I12:I16,F27)</f>
        <v>2</v>
      </c>
    </row>
    <row r="28" spans="1:9" x14ac:dyDescent="0.35">
      <c r="E28" s="6"/>
      <c r="F28" s="14"/>
    </row>
    <row r="29" spans="1:9" x14ac:dyDescent="0.35">
      <c r="E29" s="6"/>
      <c r="F29" s="14" t="s">
        <v>202</v>
      </c>
      <c r="G29">
        <f>SUM(G22, G23)</f>
        <v>5</v>
      </c>
      <c r="H29">
        <f>SUM(H22:H23)</f>
        <v>5</v>
      </c>
      <c r="I29">
        <f>SUM(I22:I23)</f>
        <v>5</v>
      </c>
    </row>
    <row r="30" spans="1:9" x14ac:dyDescent="0.35">
      <c r="E30" s="6"/>
      <c r="F30" s="14" t="s">
        <v>203</v>
      </c>
      <c r="G30">
        <f>SUM(G24, G25, G26, G27)</f>
        <v>5</v>
      </c>
      <c r="H30">
        <f>SUM(H24:H27)</f>
        <v>5</v>
      </c>
      <c r="I30">
        <f>SUM(I24:I27)</f>
        <v>5</v>
      </c>
    </row>
    <row r="31" spans="1:9" x14ac:dyDescent="0.35">
      <c r="E31" s="6"/>
      <c r="F31" s="14"/>
    </row>
    <row r="32" spans="1:9" x14ac:dyDescent="0.35">
      <c r="A32" t="s">
        <v>215</v>
      </c>
      <c r="E32" s="6"/>
      <c r="F32" s="14" t="s">
        <v>204</v>
      </c>
      <c r="G32" s="24">
        <f>G24/(G24+G27)</f>
        <v>0.2</v>
      </c>
      <c r="H32" s="24">
        <f>H24/(H24+H27)</f>
        <v>0.4</v>
      </c>
      <c r="I32" s="24">
        <f>I24/(I24+I27)</f>
        <v>0.6</v>
      </c>
    </row>
    <row r="33" spans="1:9" x14ac:dyDescent="0.35">
      <c r="A33" t="s">
        <v>207</v>
      </c>
      <c r="E33" s="6"/>
      <c r="F33" s="14" t="s">
        <v>205</v>
      </c>
      <c r="G33" s="24">
        <f>G24/(G24+G26)</f>
        <v>1</v>
      </c>
      <c r="H33" s="24">
        <f>H24/(H24+H26)</f>
        <v>1</v>
      </c>
      <c r="I33" s="24">
        <f>I24/(I24+I26)</f>
        <v>1</v>
      </c>
    </row>
    <row r="34" spans="1:9" x14ac:dyDescent="0.35">
      <c r="E34" s="6"/>
      <c r="F34" s="14"/>
    </row>
    <row r="35" spans="1:9" x14ac:dyDescent="0.35">
      <c r="F35" s="14" t="s">
        <v>206</v>
      </c>
      <c r="G35" s="24">
        <f>G22/B21</f>
        <v>1.2437810945273632E-3</v>
      </c>
      <c r="H35" s="24">
        <f>H22/B21</f>
        <v>2.4875621890547263E-3</v>
      </c>
      <c r="I35" s="24">
        <f>I22/B21</f>
        <v>3.7313432835820895E-3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0133-CD89-4D3D-AA37-DC43DC3040D5}">
  <dimension ref="A1:M49"/>
  <sheetViews>
    <sheetView workbookViewId="0">
      <selection activeCell="F1" sqref="F1"/>
    </sheetView>
  </sheetViews>
  <sheetFormatPr defaultRowHeight="14.5" x14ac:dyDescent="0.35"/>
  <cols>
    <col min="1" max="2" width="9.26953125" customWidth="1"/>
    <col min="6" max="6" width="12.1796875" customWidth="1"/>
    <col min="7" max="7" width="16.26953125" customWidth="1"/>
    <col min="8" max="8" width="19" customWidth="1"/>
    <col min="9" max="9" width="22.90625" customWidth="1"/>
    <col min="10" max="11" width="8.90625" customWidth="1"/>
    <col min="12" max="12" width="17.54296875" customWidth="1"/>
    <col min="13" max="13" width="14.54296875" customWidth="1"/>
  </cols>
  <sheetData>
    <row r="1" spans="1:13" x14ac:dyDescent="0.35">
      <c r="A1" s="3" t="s">
        <v>216</v>
      </c>
      <c r="B1" s="29" t="s">
        <v>1</v>
      </c>
      <c r="C1" s="4" t="s">
        <v>231</v>
      </c>
      <c r="D1" s="4" t="s">
        <v>3</v>
      </c>
      <c r="E1" s="36" t="s">
        <v>4</v>
      </c>
      <c r="F1" s="36" t="s">
        <v>5</v>
      </c>
      <c r="G1" s="4" t="s">
        <v>6</v>
      </c>
      <c r="H1" s="29" t="s">
        <v>230</v>
      </c>
      <c r="I1" s="4" t="s">
        <v>229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s="31" t="s">
        <v>217</v>
      </c>
      <c r="B2" s="28" t="s">
        <v>34</v>
      </c>
      <c r="C2" s="28" t="s">
        <v>29</v>
      </c>
      <c r="D2" s="28">
        <v>10</v>
      </c>
      <c r="E2" s="34" t="s">
        <v>35</v>
      </c>
      <c r="F2" s="32" t="b">
        <v>0</v>
      </c>
      <c r="G2" s="32" t="s">
        <v>25</v>
      </c>
      <c r="H2" s="32" t="s">
        <v>93</v>
      </c>
      <c r="I2" s="32" t="s">
        <v>23</v>
      </c>
      <c r="J2" s="28" t="s">
        <v>94</v>
      </c>
      <c r="K2" s="28" t="s">
        <v>97</v>
      </c>
      <c r="L2" s="28" t="s">
        <v>47</v>
      </c>
      <c r="M2" s="28" t="s">
        <v>16</v>
      </c>
    </row>
    <row r="3" spans="1:13" x14ac:dyDescent="0.35">
      <c r="A3" s="31" t="s">
        <v>217</v>
      </c>
      <c r="B3" s="28" t="s">
        <v>36</v>
      </c>
      <c r="C3" s="28" t="s">
        <v>37</v>
      </c>
      <c r="D3" s="28">
        <v>10</v>
      </c>
      <c r="E3" s="34" t="s">
        <v>38</v>
      </c>
      <c r="F3" s="32" t="s">
        <v>93</v>
      </c>
      <c r="G3" s="32" t="s">
        <v>23</v>
      </c>
      <c r="H3" s="32" t="s">
        <v>93</v>
      </c>
      <c r="I3" s="32" t="s">
        <v>23</v>
      </c>
      <c r="J3" s="28" t="s">
        <v>105</v>
      </c>
      <c r="K3" s="28" t="s">
        <v>48</v>
      </c>
      <c r="L3" s="28" t="s">
        <v>48</v>
      </c>
      <c r="M3" s="28" t="s">
        <v>16</v>
      </c>
    </row>
    <row r="4" spans="1:13" x14ac:dyDescent="0.35">
      <c r="A4" s="31" t="s">
        <v>217</v>
      </c>
      <c r="B4" s="28" t="s">
        <v>39</v>
      </c>
      <c r="C4" s="28" t="s">
        <v>27</v>
      </c>
      <c r="D4" s="28">
        <v>10</v>
      </c>
      <c r="E4" s="34" t="s">
        <v>40</v>
      </c>
      <c r="F4" s="32" t="s">
        <v>93</v>
      </c>
      <c r="G4" s="32" t="s">
        <v>23</v>
      </c>
      <c r="H4" s="32" t="s">
        <v>93</v>
      </c>
      <c r="I4" s="32" t="s">
        <v>23</v>
      </c>
      <c r="J4" s="28" t="s">
        <v>106</v>
      </c>
      <c r="K4" s="28" t="s">
        <v>107</v>
      </c>
      <c r="L4" s="28" t="s">
        <v>48</v>
      </c>
      <c r="M4" s="28" t="s">
        <v>16</v>
      </c>
    </row>
    <row r="5" spans="1:13" x14ac:dyDescent="0.35">
      <c r="A5" s="31" t="s">
        <v>217</v>
      </c>
      <c r="B5" s="28" t="s">
        <v>41</v>
      </c>
      <c r="C5" s="28" t="s">
        <v>42</v>
      </c>
      <c r="D5" s="28">
        <v>10</v>
      </c>
      <c r="E5" s="34" t="s">
        <v>43</v>
      </c>
      <c r="F5" s="32" t="s">
        <v>93</v>
      </c>
      <c r="G5" s="32" t="s">
        <v>23</v>
      </c>
      <c r="H5" s="32" t="s">
        <v>93</v>
      </c>
      <c r="I5" s="32" t="s">
        <v>23</v>
      </c>
      <c r="J5" s="28" t="s">
        <v>108</v>
      </c>
      <c r="K5" s="28" t="s">
        <v>49</v>
      </c>
      <c r="L5" s="28" t="s">
        <v>49</v>
      </c>
      <c r="M5" s="28" t="s">
        <v>31</v>
      </c>
    </row>
    <row r="6" spans="1:13" x14ac:dyDescent="0.35">
      <c r="A6" s="31" t="s">
        <v>217</v>
      </c>
      <c r="B6" s="28" t="s">
        <v>44</v>
      </c>
      <c r="C6" s="28" t="s">
        <v>45</v>
      </c>
      <c r="D6" s="28">
        <v>10</v>
      </c>
      <c r="E6" s="34" t="s">
        <v>46</v>
      </c>
      <c r="F6" s="32" t="s">
        <v>93</v>
      </c>
      <c r="G6" s="32" t="s">
        <v>23</v>
      </c>
      <c r="H6" s="32" t="s">
        <v>93</v>
      </c>
      <c r="I6" s="32" t="s">
        <v>23</v>
      </c>
      <c r="J6" s="28" t="s">
        <v>109</v>
      </c>
      <c r="K6" s="28" t="s">
        <v>50</v>
      </c>
      <c r="L6" s="28" t="s">
        <v>50</v>
      </c>
      <c r="M6" s="28" t="s">
        <v>31</v>
      </c>
    </row>
    <row r="7" spans="1:13" x14ac:dyDescent="0.35">
      <c r="A7" s="31" t="s">
        <v>217</v>
      </c>
      <c r="B7" s="28" t="s">
        <v>85</v>
      </c>
      <c r="C7" s="28"/>
      <c r="D7" s="28">
        <v>10</v>
      </c>
      <c r="E7" s="34">
        <v>479</v>
      </c>
      <c r="F7" s="32" t="s">
        <v>93</v>
      </c>
      <c r="G7" s="32" t="s">
        <v>23</v>
      </c>
      <c r="H7" s="32" t="b">
        <v>0</v>
      </c>
      <c r="I7" s="32" t="s">
        <v>25</v>
      </c>
      <c r="J7" s="28" t="s">
        <v>148</v>
      </c>
      <c r="K7" s="28" t="s">
        <v>133</v>
      </c>
      <c r="L7" s="28" t="s">
        <v>82</v>
      </c>
      <c r="M7" s="28" t="s">
        <v>20</v>
      </c>
    </row>
    <row r="8" spans="1:13" x14ac:dyDescent="0.35">
      <c r="A8" s="31" t="s">
        <v>217</v>
      </c>
      <c r="B8" s="28" t="s">
        <v>149</v>
      </c>
      <c r="C8" s="28"/>
      <c r="D8" s="28">
        <v>11</v>
      </c>
      <c r="E8" s="34">
        <v>26</v>
      </c>
      <c r="F8" s="32" t="s">
        <v>93</v>
      </c>
      <c r="G8" s="32" t="s">
        <v>23</v>
      </c>
      <c r="H8" s="32" t="b">
        <v>0</v>
      </c>
      <c r="I8" s="32" t="s">
        <v>25</v>
      </c>
      <c r="J8" s="28" t="s">
        <v>150</v>
      </c>
      <c r="K8" s="28" t="s">
        <v>151</v>
      </c>
      <c r="L8" s="28" t="s">
        <v>152</v>
      </c>
      <c r="M8" s="28" t="s">
        <v>31</v>
      </c>
    </row>
    <row r="9" spans="1:13" x14ac:dyDescent="0.35">
      <c r="A9" s="31" t="s">
        <v>217</v>
      </c>
      <c r="B9" s="28" t="s">
        <v>113</v>
      </c>
      <c r="C9" s="28" t="s">
        <v>42</v>
      </c>
      <c r="D9" s="28">
        <v>11</v>
      </c>
      <c r="E9" s="34" t="s">
        <v>111</v>
      </c>
      <c r="F9" s="32" t="s">
        <v>93</v>
      </c>
      <c r="G9" s="32" t="s">
        <v>23</v>
      </c>
      <c r="H9" s="32" t="s">
        <v>93</v>
      </c>
      <c r="I9" s="32" t="s">
        <v>23</v>
      </c>
      <c r="J9" s="28" t="s">
        <v>48</v>
      </c>
      <c r="K9" s="28" t="s">
        <v>112</v>
      </c>
      <c r="L9" s="28" t="s">
        <v>48</v>
      </c>
      <c r="M9" s="28" t="s">
        <v>16</v>
      </c>
    </row>
    <row r="10" spans="1:13" x14ac:dyDescent="0.35">
      <c r="A10" s="31" t="s">
        <v>217</v>
      </c>
      <c r="B10" s="28" t="s">
        <v>153</v>
      </c>
      <c r="C10" s="28" t="s">
        <v>58</v>
      </c>
      <c r="D10" s="28">
        <v>11</v>
      </c>
      <c r="E10" s="34">
        <v>227</v>
      </c>
      <c r="F10" s="32" t="s">
        <v>93</v>
      </c>
      <c r="G10" s="32" t="s">
        <v>23</v>
      </c>
      <c r="H10" s="32" t="s">
        <v>93</v>
      </c>
      <c r="I10" s="32" t="s">
        <v>23</v>
      </c>
      <c r="J10" s="28" t="s">
        <v>112</v>
      </c>
      <c r="K10" s="28" t="s">
        <v>105</v>
      </c>
      <c r="L10" s="28" t="s">
        <v>48</v>
      </c>
      <c r="M10" s="28" t="s">
        <v>16</v>
      </c>
    </row>
    <row r="11" spans="1:13" x14ac:dyDescent="0.35">
      <c r="A11" s="31" t="s">
        <v>218</v>
      </c>
      <c r="B11" s="28" t="s">
        <v>34</v>
      </c>
      <c r="C11" s="28" t="s">
        <v>27</v>
      </c>
      <c r="D11" s="28">
        <v>10</v>
      </c>
      <c r="E11" s="34" t="s">
        <v>35</v>
      </c>
      <c r="F11" s="32" t="b">
        <v>0</v>
      </c>
      <c r="G11" s="32" t="s">
        <v>25</v>
      </c>
      <c r="H11" s="32" t="s">
        <v>93</v>
      </c>
      <c r="I11" s="32" t="s">
        <v>23</v>
      </c>
      <c r="J11" s="28" t="s">
        <v>94</v>
      </c>
      <c r="K11" s="28" t="s">
        <v>97</v>
      </c>
      <c r="L11" s="28" t="s">
        <v>47</v>
      </c>
      <c r="M11" s="28" t="s">
        <v>16</v>
      </c>
    </row>
    <row r="12" spans="1:13" x14ac:dyDescent="0.35">
      <c r="A12" s="31" t="s">
        <v>218</v>
      </c>
      <c r="B12" s="28" t="s">
        <v>36</v>
      </c>
      <c r="C12" s="28" t="s">
        <v>29</v>
      </c>
      <c r="D12" s="28">
        <v>10</v>
      </c>
      <c r="E12" s="34" t="s">
        <v>38</v>
      </c>
      <c r="F12" s="32" t="s">
        <v>93</v>
      </c>
      <c r="G12" s="32" t="s">
        <v>23</v>
      </c>
      <c r="H12" s="32" t="s">
        <v>93</v>
      </c>
      <c r="I12" s="32" t="s">
        <v>23</v>
      </c>
      <c r="J12" s="28" t="s">
        <v>105</v>
      </c>
      <c r="K12" s="28" t="s">
        <v>48</v>
      </c>
      <c r="L12" s="28" t="s">
        <v>48</v>
      </c>
      <c r="M12" s="28" t="s">
        <v>16</v>
      </c>
    </row>
    <row r="13" spans="1:13" x14ac:dyDescent="0.35">
      <c r="A13" s="31" t="s">
        <v>218</v>
      </c>
      <c r="B13" s="28" t="s">
        <v>39</v>
      </c>
      <c r="C13" s="28" t="s">
        <v>30</v>
      </c>
      <c r="D13" s="28">
        <v>10</v>
      </c>
      <c r="E13" s="34" t="s">
        <v>40</v>
      </c>
      <c r="F13" s="32" t="s">
        <v>93</v>
      </c>
      <c r="G13" s="32" t="s">
        <v>23</v>
      </c>
      <c r="H13" s="32" t="s">
        <v>93</v>
      </c>
      <c r="I13" s="32" t="s">
        <v>23</v>
      </c>
      <c r="J13" s="28" t="s">
        <v>106</v>
      </c>
      <c r="K13" s="28" t="s">
        <v>107</v>
      </c>
      <c r="L13" s="28" t="s">
        <v>48</v>
      </c>
      <c r="M13" s="28" t="s">
        <v>16</v>
      </c>
    </row>
    <row r="14" spans="1:13" x14ac:dyDescent="0.35">
      <c r="A14" s="31" t="s">
        <v>218</v>
      </c>
      <c r="B14" s="28" t="s">
        <v>41</v>
      </c>
      <c r="C14" s="28" t="s">
        <v>62</v>
      </c>
      <c r="D14" s="28">
        <v>10</v>
      </c>
      <c r="E14" s="34" t="s">
        <v>43</v>
      </c>
      <c r="F14" s="32" t="s">
        <v>93</v>
      </c>
      <c r="G14" s="32" t="s">
        <v>23</v>
      </c>
      <c r="H14" s="32" t="s">
        <v>93</v>
      </c>
      <c r="I14" s="32" t="s">
        <v>23</v>
      </c>
      <c r="J14" s="28" t="s">
        <v>108</v>
      </c>
      <c r="K14" s="28" t="s">
        <v>49</v>
      </c>
      <c r="L14" s="28" t="s">
        <v>49</v>
      </c>
      <c r="M14" s="28" t="s">
        <v>31</v>
      </c>
    </row>
    <row r="15" spans="1:13" x14ac:dyDescent="0.35">
      <c r="A15" s="31" t="s">
        <v>218</v>
      </c>
      <c r="B15" s="28" t="s">
        <v>44</v>
      </c>
      <c r="C15" s="28" t="s">
        <v>73</v>
      </c>
      <c r="D15" s="28">
        <v>10</v>
      </c>
      <c r="E15" s="34" t="s">
        <v>46</v>
      </c>
      <c r="F15" s="32" t="s">
        <v>93</v>
      </c>
      <c r="G15" s="32" t="s">
        <v>23</v>
      </c>
      <c r="H15" s="32" t="s">
        <v>93</v>
      </c>
      <c r="I15" s="32" t="s">
        <v>23</v>
      </c>
      <c r="J15" s="28" t="s">
        <v>109</v>
      </c>
      <c r="K15" s="28" t="s">
        <v>50</v>
      </c>
      <c r="L15" s="28" t="s">
        <v>50</v>
      </c>
      <c r="M15" s="28" t="s">
        <v>31</v>
      </c>
    </row>
    <row r="16" spans="1:13" x14ac:dyDescent="0.35">
      <c r="A16" s="31" t="s">
        <v>218</v>
      </c>
      <c r="B16" s="28" t="s">
        <v>85</v>
      </c>
      <c r="C16" s="28"/>
      <c r="D16" s="28">
        <v>10</v>
      </c>
      <c r="E16" s="34">
        <v>479</v>
      </c>
      <c r="F16" s="32" t="s">
        <v>93</v>
      </c>
      <c r="G16" s="32" t="s">
        <v>23</v>
      </c>
      <c r="H16" s="32" t="b">
        <v>0</v>
      </c>
      <c r="I16" s="32" t="s">
        <v>25</v>
      </c>
      <c r="J16" s="28" t="s">
        <v>148</v>
      </c>
      <c r="K16" s="28" t="s">
        <v>133</v>
      </c>
      <c r="L16" s="28" t="s">
        <v>82</v>
      </c>
      <c r="M16" s="28" t="s">
        <v>20</v>
      </c>
    </row>
    <row r="17" spans="1:13" x14ac:dyDescent="0.35">
      <c r="A17" s="31" t="s">
        <v>218</v>
      </c>
      <c r="B17" s="28" t="s">
        <v>149</v>
      </c>
      <c r="C17" s="28"/>
      <c r="D17" s="28">
        <v>11</v>
      </c>
      <c r="E17" s="34">
        <v>26</v>
      </c>
      <c r="F17" s="32" t="s">
        <v>93</v>
      </c>
      <c r="G17" s="32" t="s">
        <v>23</v>
      </c>
      <c r="H17" s="32" t="b">
        <v>0</v>
      </c>
      <c r="I17" s="32" t="s">
        <v>25</v>
      </c>
      <c r="J17" s="28" t="s">
        <v>150</v>
      </c>
      <c r="K17" s="28" t="s">
        <v>151</v>
      </c>
      <c r="L17" s="28" t="s">
        <v>152</v>
      </c>
      <c r="M17" s="28" t="s">
        <v>31</v>
      </c>
    </row>
    <row r="18" spans="1:13" x14ac:dyDescent="0.35">
      <c r="A18" s="31" t="s">
        <v>218</v>
      </c>
      <c r="B18" s="28" t="s">
        <v>110</v>
      </c>
      <c r="C18" s="28" t="s">
        <v>62</v>
      </c>
      <c r="D18" s="28">
        <v>11</v>
      </c>
      <c r="E18" s="34">
        <v>121</v>
      </c>
      <c r="F18" s="32" t="s">
        <v>93</v>
      </c>
      <c r="G18" s="32" t="s">
        <v>23</v>
      </c>
      <c r="H18" s="32" t="s">
        <v>93</v>
      </c>
      <c r="I18" s="32" t="s">
        <v>23</v>
      </c>
      <c r="J18" s="28" t="s">
        <v>48</v>
      </c>
      <c r="K18" s="28" t="s">
        <v>112</v>
      </c>
      <c r="L18" s="28" t="s">
        <v>48</v>
      </c>
      <c r="M18" s="28" t="s">
        <v>16</v>
      </c>
    </row>
    <row r="19" spans="1:13" x14ac:dyDescent="0.35">
      <c r="A19" s="31" t="s">
        <v>218</v>
      </c>
      <c r="B19" s="28" t="s">
        <v>153</v>
      </c>
      <c r="C19" s="28" t="s">
        <v>42</v>
      </c>
      <c r="D19" s="28">
        <v>11</v>
      </c>
      <c r="E19" s="34">
        <v>227</v>
      </c>
      <c r="F19" s="32" t="s">
        <v>93</v>
      </c>
      <c r="G19" s="32" t="s">
        <v>23</v>
      </c>
      <c r="H19" s="32" t="s">
        <v>93</v>
      </c>
      <c r="I19" s="32" t="s">
        <v>23</v>
      </c>
      <c r="J19" s="28" t="s">
        <v>112</v>
      </c>
      <c r="K19" s="28" t="s">
        <v>105</v>
      </c>
      <c r="L19" s="28" t="s">
        <v>48</v>
      </c>
      <c r="M19" s="28" t="s">
        <v>16</v>
      </c>
    </row>
    <row r="20" spans="1:13" x14ac:dyDescent="0.35">
      <c r="A20" s="31" t="s">
        <v>218</v>
      </c>
      <c r="B20" s="28" t="s">
        <v>174</v>
      </c>
      <c r="C20" s="28" t="s">
        <v>27</v>
      </c>
      <c r="D20" s="28">
        <v>11</v>
      </c>
      <c r="E20" s="34" t="s">
        <v>175</v>
      </c>
      <c r="F20" s="32" t="b">
        <v>0</v>
      </c>
      <c r="G20" s="32" t="s">
        <v>95</v>
      </c>
      <c r="H20" s="32" t="s">
        <v>93</v>
      </c>
      <c r="I20" s="32" t="s">
        <v>96</v>
      </c>
      <c r="J20" s="28" t="s">
        <v>176</v>
      </c>
      <c r="K20" s="28" t="s">
        <v>177</v>
      </c>
      <c r="L20" s="28" t="s">
        <v>67</v>
      </c>
      <c r="M20" s="28" t="s">
        <v>31</v>
      </c>
    </row>
    <row r="21" spans="1:13" x14ac:dyDescent="0.35">
      <c r="A21" s="31" t="s">
        <v>219</v>
      </c>
      <c r="B21" s="28" t="s">
        <v>34</v>
      </c>
      <c r="C21" s="28" t="s">
        <v>30</v>
      </c>
      <c r="D21" s="28">
        <v>10</v>
      </c>
      <c r="E21" s="34" t="s">
        <v>35</v>
      </c>
      <c r="F21" s="32" t="b">
        <v>0</v>
      </c>
      <c r="G21" s="32" t="s">
        <v>25</v>
      </c>
      <c r="H21" s="32" t="s">
        <v>93</v>
      </c>
      <c r="I21" s="32" t="s">
        <v>23</v>
      </c>
      <c r="J21" s="28" t="s">
        <v>94</v>
      </c>
      <c r="K21" s="28" t="s">
        <v>97</v>
      </c>
      <c r="L21" s="28" t="s">
        <v>47</v>
      </c>
      <c r="M21" s="28" t="s">
        <v>16</v>
      </c>
    </row>
    <row r="22" spans="1:13" x14ac:dyDescent="0.35">
      <c r="A22" s="31" t="s">
        <v>219</v>
      </c>
      <c r="B22" s="28" t="s">
        <v>36</v>
      </c>
      <c r="C22" s="28" t="s">
        <v>27</v>
      </c>
      <c r="D22" s="28">
        <v>10</v>
      </c>
      <c r="E22" s="34" t="s">
        <v>38</v>
      </c>
      <c r="F22" s="32" t="s">
        <v>93</v>
      </c>
      <c r="G22" s="32" t="s">
        <v>23</v>
      </c>
      <c r="H22" s="32" t="s">
        <v>93</v>
      </c>
      <c r="I22" s="32" t="s">
        <v>23</v>
      </c>
      <c r="J22" s="28" t="s">
        <v>105</v>
      </c>
      <c r="K22" s="28" t="s">
        <v>48</v>
      </c>
      <c r="L22" s="28" t="s">
        <v>48</v>
      </c>
      <c r="M22" s="35" t="s">
        <v>16</v>
      </c>
    </row>
    <row r="23" spans="1:13" x14ac:dyDescent="0.35">
      <c r="A23" s="31" t="s">
        <v>219</v>
      </c>
      <c r="B23" s="28" t="s">
        <v>39</v>
      </c>
      <c r="C23" s="28" t="s">
        <v>22</v>
      </c>
      <c r="D23" s="28">
        <v>10</v>
      </c>
      <c r="E23" s="34" t="s">
        <v>40</v>
      </c>
      <c r="F23" s="32" t="s">
        <v>93</v>
      </c>
      <c r="G23" s="32" t="s">
        <v>23</v>
      </c>
      <c r="H23" s="32" t="s">
        <v>93</v>
      </c>
      <c r="I23" s="32" t="s">
        <v>23</v>
      </c>
      <c r="J23" s="28" t="s">
        <v>106</v>
      </c>
      <c r="K23" s="28" t="s">
        <v>107</v>
      </c>
      <c r="L23" s="28" t="s">
        <v>48</v>
      </c>
      <c r="M23" s="28" t="s">
        <v>16</v>
      </c>
    </row>
    <row r="24" spans="1:13" x14ac:dyDescent="0.35">
      <c r="A24" s="31" t="s">
        <v>219</v>
      </c>
      <c r="B24" s="28" t="s">
        <v>41</v>
      </c>
      <c r="C24" s="28" t="s">
        <v>37</v>
      </c>
      <c r="D24" s="28">
        <v>10</v>
      </c>
      <c r="E24" s="34" t="s">
        <v>43</v>
      </c>
      <c r="F24" s="32" t="s">
        <v>93</v>
      </c>
      <c r="G24" s="32" t="s">
        <v>23</v>
      </c>
      <c r="H24" s="32" t="s">
        <v>93</v>
      </c>
      <c r="I24" s="32" t="s">
        <v>23</v>
      </c>
      <c r="J24" s="28" t="s">
        <v>108</v>
      </c>
      <c r="K24" s="28" t="s">
        <v>49</v>
      </c>
      <c r="L24" s="28" t="s">
        <v>49</v>
      </c>
      <c r="M24" s="28" t="s">
        <v>31</v>
      </c>
    </row>
    <row r="25" spans="1:13" x14ac:dyDescent="0.35">
      <c r="A25" s="31" t="s">
        <v>219</v>
      </c>
      <c r="B25" s="28" t="s">
        <v>44</v>
      </c>
      <c r="C25" s="28" t="s">
        <v>73</v>
      </c>
      <c r="D25" s="28">
        <v>10</v>
      </c>
      <c r="E25" s="34" t="s">
        <v>46</v>
      </c>
      <c r="F25" s="32" t="s">
        <v>93</v>
      </c>
      <c r="G25" s="32" t="s">
        <v>23</v>
      </c>
      <c r="H25" s="32" t="s">
        <v>93</v>
      </c>
      <c r="I25" s="32" t="s">
        <v>23</v>
      </c>
      <c r="J25" s="28" t="s">
        <v>109</v>
      </c>
      <c r="K25" s="28" t="s">
        <v>50</v>
      </c>
      <c r="L25" s="28" t="s">
        <v>50</v>
      </c>
      <c r="M25" s="28" t="s">
        <v>31</v>
      </c>
    </row>
    <row r="26" spans="1:13" x14ac:dyDescent="0.35">
      <c r="A26" s="31" t="s">
        <v>219</v>
      </c>
      <c r="B26" s="28" t="s">
        <v>85</v>
      </c>
      <c r="C26" s="28" t="s">
        <v>27</v>
      </c>
      <c r="D26" s="28">
        <v>10</v>
      </c>
      <c r="E26" s="34" t="s">
        <v>86</v>
      </c>
      <c r="F26" s="32" t="s">
        <v>93</v>
      </c>
      <c r="G26" s="32" t="s">
        <v>23</v>
      </c>
      <c r="H26" s="32" t="s">
        <v>93</v>
      </c>
      <c r="I26" s="32" t="s">
        <v>23</v>
      </c>
      <c r="J26" s="28" t="s">
        <v>148</v>
      </c>
      <c r="K26" s="28" t="s">
        <v>133</v>
      </c>
      <c r="L26" s="28" t="s">
        <v>82</v>
      </c>
      <c r="M26" s="28" t="s">
        <v>20</v>
      </c>
    </row>
    <row r="27" spans="1:13" x14ac:dyDescent="0.35">
      <c r="A27" s="31" t="s">
        <v>219</v>
      </c>
      <c r="B27" s="28" t="s">
        <v>149</v>
      </c>
      <c r="C27" s="28"/>
      <c r="D27" s="28">
        <v>11</v>
      </c>
      <c r="E27" s="34">
        <v>26</v>
      </c>
      <c r="F27" s="32" t="s">
        <v>93</v>
      </c>
      <c r="G27" s="32" t="s">
        <v>23</v>
      </c>
      <c r="H27" s="32" t="b">
        <v>0</v>
      </c>
      <c r="I27" s="32" t="s">
        <v>25</v>
      </c>
      <c r="J27" s="28" t="s">
        <v>150</v>
      </c>
      <c r="K27" s="28" t="s">
        <v>151</v>
      </c>
      <c r="L27" s="28" t="s">
        <v>152</v>
      </c>
      <c r="M27" s="28" t="s">
        <v>31</v>
      </c>
    </row>
    <row r="28" spans="1:13" x14ac:dyDescent="0.35">
      <c r="A28" s="31" t="s">
        <v>219</v>
      </c>
      <c r="B28" s="28" t="s">
        <v>113</v>
      </c>
      <c r="C28" s="28" t="s">
        <v>59</v>
      </c>
      <c r="D28" s="28">
        <v>11</v>
      </c>
      <c r="E28" s="34" t="s">
        <v>193</v>
      </c>
      <c r="F28" s="32" t="s">
        <v>93</v>
      </c>
      <c r="G28" s="32" t="s">
        <v>23</v>
      </c>
      <c r="H28" s="32" t="s">
        <v>93</v>
      </c>
      <c r="I28" s="32" t="s">
        <v>23</v>
      </c>
      <c r="J28" s="28" t="s">
        <v>48</v>
      </c>
      <c r="K28" s="28" t="s">
        <v>112</v>
      </c>
      <c r="L28" s="28" t="s">
        <v>48</v>
      </c>
      <c r="M28" s="35" t="s">
        <v>16</v>
      </c>
    </row>
    <row r="29" spans="1:13" x14ac:dyDescent="0.35">
      <c r="A29" s="31" t="s">
        <v>219</v>
      </c>
      <c r="B29" s="28" t="s">
        <v>194</v>
      </c>
      <c r="C29" s="28" t="s">
        <v>59</v>
      </c>
      <c r="D29" s="28">
        <v>11</v>
      </c>
      <c r="E29" s="34" t="s">
        <v>195</v>
      </c>
      <c r="F29" s="32" t="s">
        <v>93</v>
      </c>
      <c r="G29" s="32" t="s">
        <v>23</v>
      </c>
      <c r="H29" s="32" t="s">
        <v>93</v>
      </c>
      <c r="I29" s="32" t="s">
        <v>23</v>
      </c>
      <c r="J29" s="28" t="s">
        <v>112</v>
      </c>
      <c r="K29" s="28" t="s">
        <v>105</v>
      </c>
      <c r="L29" s="28" t="s">
        <v>48</v>
      </c>
      <c r="M29" s="35" t="s">
        <v>16</v>
      </c>
    </row>
    <row r="30" spans="1:13" x14ac:dyDescent="0.35">
      <c r="A30" s="31" t="s">
        <v>219</v>
      </c>
      <c r="B30" s="28" t="s">
        <v>174</v>
      </c>
      <c r="C30" s="28" t="s">
        <v>30</v>
      </c>
      <c r="D30" s="28">
        <v>11</v>
      </c>
      <c r="E30" s="34" t="s">
        <v>175</v>
      </c>
      <c r="F30" s="32" t="b">
        <v>0</v>
      </c>
      <c r="G30" s="32" t="s">
        <v>95</v>
      </c>
      <c r="H30" s="32" t="s">
        <v>93</v>
      </c>
      <c r="I30" s="32" t="s">
        <v>96</v>
      </c>
      <c r="J30" s="28" t="s">
        <v>176</v>
      </c>
      <c r="K30" s="28" t="s">
        <v>177</v>
      </c>
      <c r="L30" s="28" t="s">
        <v>67</v>
      </c>
      <c r="M30" s="28" t="s">
        <v>31</v>
      </c>
    </row>
    <row r="33" spans="1:9" x14ac:dyDescent="0.35">
      <c r="A33" t="s">
        <v>208</v>
      </c>
      <c r="B33">
        <f>SUM(B34:B38)</f>
        <v>4020</v>
      </c>
      <c r="E33" s="6"/>
      <c r="F33" s="14"/>
    </row>
    <row r="34" spans="1:9" x14ac:dyDescent="0.35">
      <c r="A34" t="s">
        <v>209</v>
      </c>
      <c r="B34">
        <v>804</v>
      </c>
      <c r="E34" s="6"/>
      <c r="F34" s="14"/>
    </row>
    <row r="35" spans="1:9" x14ac:dyDescent="0.35">
      <c r="A35" t="s">
        <v>210</v>
      </c>
      <c r="B35">
        <v>804</v>
      </c>
      <c r="E35" s="6"/>
      <c r="F35" s="14"/>
      <c r="G35" t="s">
        <v>217</v>
      </c>
      <c r="H35" t="s">
        <v>218</v>
      </c>
      <c r="I35" t="s">
        <v>219</v>
      </c>
    </row>
    <row r="36" spans="1:9" x14ac:dyDescent="0.35">
      <c r="A36" t="s">
        <v>211</v>
      </c>
      <c r="B36">
        <v>804</v>
      </c>
      <c r="E36" s="6"/>
      <c r="F36" s="13" t="s">
        <v>93</v>
      </c>
      <c r="G36">
        <f>COUNTIF(H2:H10,F36)</f>
        <v>7</v>
      </c>
      <c r="H36">
        <f>COUNTIF(H11:H20,F36)</f>
        <v>8</v>
      </c>
      <c r="I36">
        <f>COUNTIF(H21:H30,F36)</f>
        <v>9</v>
      </c>
    </row>
    <row r="37" spans="1:9" x14ac:dyDescent="0.35">
      <c r="A37" t="s">
        <v>212</v>
      </c>
      <c r="B37">
        <v>804</v>
      </c>
      <c r="E37" s="6"/>
      <c r="F37" s="13" t="b">
        <v>0</v>
      </c>
      <c r="G37">
        <f>COUNTIF(H2:H10,F37)</f>
        <v>2</v>
      </c>
      <c r="H37">
        <f>COUNTIF(H11:H20,F37)</f>
        <v>2</v>
      </c>
      <c r="I37">
        <f>COUNTIF(H21:H30,F37)</f>
        <v>1</v>
      </c>
    </row>
    <row r="38" spans="1:9" x14ac:dyDescent="0.35">
      <c r="A38" t="s">
        <v>213</v>
      </c>
      <c r="B38">
        <v>804</v>
      </c>
      <c r="E38" s="6"/>
      <c r="F38" s="14" t="s">
        <v>23</v>
      </c>
      <c r="G38">
        <f>COUNTIF(I2:I10,F38)</f>
        <v>7</v>
      </c>
      <c r="H38">
        <f>COUNTIF(I11:I20,F38)</f>
        <v>7</v>
      </c>
      <c r="I38">
        <f>COUNTIF(I21:I30,F38)</f>
        <v>8</v>
      </c>
    </row>
    <row r="39" spans="1:9" x14ac:dyDescent="0.35">
      <c r="E39" s="6"/>
      <c r="F39" s="14" t="s">
        <v>95</v>
      </c>
      <c r="G39">
        <f>COUNTIF(I2:I10,F39)</f>
        <v>0</v>
      </c>
      <c r="H39">
        <f>COUNTIF(I11:I20,F39)</f>
        <v>0</v>
      </c>
      <c r="I39">
        <f>COUNTIF(I21:I30,F39)</f>
        <v>0</v>
      </c>
    </row>
    <row r="40" spans="1:9" x14ac:dyDescent="0.35">
      <c r="E40" s="6"/>
      <c r="F40" s="14" t="s">
        <v>96</v>
      </c>
      <c r="G40">
        <f>COUNTIF(I2:I10,F40)</f>
        <v>0</v>
      </c>
      <c r="H40">
        <f>COUNTIF(I11:I20,F40)</f>
        <v>1</v>
      </c>
      <c r="I40">
        <f>COUNTIF(I21:I30,F40)</f>
        <v>1</v>
      </c>
    </row>
    <row r="41" spans="1:9" x14ac:dyDescent="0.35">
      <c r="E41" s="6"/>
      <c r="F41" s="13" t="s">
        <v>25</v>
      </c>
      <c r="G41">
        <f>COUNTIF(I2:I10,F41)</f>
        <v>2</v>
      </c>
      <c r="H41">
        <f>COUNTIF(I11:I20,F41)</f>
        <v>2</v>
      </c>
      <c r="I41">
        <f>COUNTIF(I21:I30,F41)</f>
        <v>1</v>
      </c>
    </row>
    <row r="42" spans="1:9" x14ac:dyDescent="0.35">
      <c r="E42" s="6"/>
      <c r="F42" s="14"/>
    </row>
    <row r="43" spans="1:9" x14ac:dyDescent="0.35">
      <c r="E43" s="6"/>
      <c r="F43" s="14" t="s">
        <v>202</v>
      </c>
      <c r="G43">
        <f>SUM(G36, G37)</f>
        <v>9</v>
      </c>
      <c r="H43">
        <f>SUM(H36:H37)</f>
        <v>10</v>
      </c>
      <c r="I43">
        <f>SUM(I36:I37)</f>
        <v>10</v>
      </c>
    </row>
    <row r="44" spans="1:9" x14ac:dyDescent="0.35">
      <c r="E44" s="6"/>
      <c r="F44" s="14" t="s">
        <v>203</v>
      </c>
      <c r="G44">
        <f>SUM(G38, G39, G40, G41)</f>
        <v>9</v>
      </c>
      <c r="H44">
        <f>SUM(H38:H41)</f>
        <v>10</v>
      </c>
      <c r="I44">
        <f>SUM(I38:I41)</f>
        <v>10</v>
      </c>
    </row>
    <row r="45" spans="1:9" x14ac:dyDescent="0.35">
      <c r="E45" s="6"/>
      <c r="F45" s="14"/>
    </row>
    <row r="46" spans="1:9" x14ac:dyDescent="0.35">
      <c r="A46" t="s">
        <v>215</v>
      </c>
      <c r="E46" s="6"/>
      <c r="F46" s="14" t="s">
        <v>204</v>
      </c>
      <c r="G46" s="24">
        <f>G38/(G38+G41)</f>
        <v>0.77777777777777779</v>
      </c>
      <c r="H46" s="24">
        <f>H38/(H38+H41)</f>
        <v>0.77777777777777779</v>
      </c>
      <c r="I46" s="24">
        <f>I38/(I38+I41)</f>
        <v>0.88888888888888884</v>
      </c>
    </row>
    <row r="47" spans="1:9" x14ac:dyDescent="0.35">
      <c r="A47" t="s">
        <v>207</v>
      </c>
      <c r="E47" s="6"/>
      <c r="F47" s="14" t="s">
        <v>205</v>
      </c>
      <c r="G47" s="24">
        <f>G38/(G38+G40)</f>
        <v>1</v>
      </c>
      <c r="H47" s="24">
        <f>H38/(H38+H40)</f>
        <v>0.875</v>
      </c>
      <c r="I47" s="24">
        <f>I38/(I38+I40)</f>
        <v>0.88888888888888884</v>
      </c>
    </row>
    <row r="48" spans="1:9" x14ac:dyDescent="0.35">
      <c r="E48" s="6"/>
      <c r="F48" s="14"/>
    </row>
    <row r="49" spans="6:9" x14ac:dyDescent="0.35">
      <c r="F49" s="14" t="s">
        <v>206</v>
      </c>
      <c r="G49" s="24">
        <f>G36/B36</f>
        <v>8.7064676616915426E-3</v>
      </c>
      <c r="H49" s="24">
        <f>H36/B36</f>
        <v>9.9502487562189053E-3</v>
      </c>
      <c r="I49" s="24">
        <f>I36/B36</f>
        <v>1.1194029850746268E-2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67BF-7345-4425-A98B-AA96740F212E}">
  <dimension ref="A1:M50"/>
  <sheetViews>
    <sheetView workbookViewId="0">
      <selection activeCell="F1" sqref="F1"/>
    </sheetView>
  </sheetViews>
  <sheetFormatPr defaultRowHeight="14.5" x14ac:dyDescent="0.35"/>
  <cols>
    <col min="1" max="1" width="9.26953125" customWidth="1"/>
    <col min="2" max="2" width="9.26953125" style="31" customWidth="1"/>
    <col min="4" max="4" width="7.36328125" customWidth="1"/>
    <col min="5" max="5" width="6.453125" customWidth="1"/>
    <col min="6" max="6" width="13.26953125" customWidth="1"/>
    <col min="7" max="7" width="16.26953125" customWidth="1"/>
    <col min="8" max="8" width="18.453125" style="31" customWidth="1"/>
    <col min="9" max="9" width="22.36328125" customWidth="1"/>
    <col min="10" max="11" width="8.90625" customWidth="1"/>
    <col min="12" max="12" width="16.7265625" style="31" customWidth="1"/>
    <col min="13" max="13" width="14.54296875" style="31" customWidth="1"/>
  </cols>
  <sheetData>
    <row r="1" spans="1:13" x14ac:dyDescent="0.35">
      <c r="A1" s="3" t="s">
        <v>216</v>
      </c>
      <c r="B1" s="29" t="s">
        <v>1</v>
      </c>
      <c r="C1" s="4" t="s">
        <v>231</v>
      </c>
      <c r="D1" s="4" t="s">
        <v>3</v>
      </c>
      <c r="E1" s="36" t="s">
        <v>4</v>
      </c>
      <c r="F1" s="36" t="s">
        <v>5</v>
      </c>
      <c r="G1" s="4" t="s">
        <v>6</v>
      </c>
      <c r="H1" s="29" t="s">
        <v>230</v>
      </c>
      <c r="I1" s="4" t="s">
        <v>229</v>
      </c>
      <c r="J1" s="4" t="s">
        <v>98</v>
      </c>
      <c r="K1" s="4" t="s">
        <v>99</v>
      </c>
      <c r="L1" s="29" t="s">
        <v>227</v>
      </c>
      <c r="M1" s="29" t="s">
        <v>228</v>
      </c>
    </row>
    <row r="2" spans="1:13" x14ac:dyDescent="0.35">
      <c r="A2" t="s">
        <v>217</v>
      </c>
      <c r="B2" s="28" t="s">
        <v>55</v>
      </c>
      <c r="C2" s="7" t="s">
        <v>29</v>
      </c>
      <c r="D2" s="7">
        <v>40</v>
      </c>
      <c r="E2" s="9">
        <v>26</v>
      </c>
      <c r="F2" s="23" t="b">
        <v>0</v>
      </c>
      <c r="G2" s="23" t="s">
        <v>25</v>
      </c>
      <c r="H2" s="32" t="s">
        <v>93</v>
      </c>
      <c r="I2" s="23" t="s">
        <v>23</v>
      </c>
      <c r="J2" s="7" t="s">
        <v>115</v>
      </c>
      <c r="K2" s="7" t="s">
        <v>116</v>
      </c>
      <c r="L2" s="28" t="s">
        <v>47</v>
      </c>
      <c r="M2" s="35" t="s">
        <v>16</v>
      </c>
    </row>
    <row r="3" spans="1:13" x14ac:dyDescent="0.35">
      <c r="A3" t="s">
        <v>217</v>
      </c>
      <c r="B3" s="28" t="s">
        <v>154</v>
      </c>
      <c r="C3" s="1"/>
      <c r="D3" s="1">
        <v>40</v>
      </c>
      <c r="E3" s="10">
        <v>198</v>
      </c>
      <c r="F3" s="13" t="s">
        <v>93</v>
      </c>
      <c r="G3" s="13" t="s">
        <v>23</v>
      </c>
      <c r="H3" s="32" t="b">
        <v>0</v>
      </c>
      <c r="I3" s="13" t="s">
        <v>25</v>
      </c>
      <c r="J3" s="25" t="s">
        <v>156</v>
      </c>
      <c r="K3" s="25" t="s">
        <v>157</v>
      </c>
      <c r="L3" s="44" t="s">
        <v>157</v>
      </c>
      <c r="M3" s="44" t="s">
        <v>121</v>
      </c>
    </row>
    <row r="4" spans="1:13" x14ac:dyDescent="0.35">
      <c r="A4" t="s">
        <v>217</v>
      </c>
      <c r="B4" s="28" t="s">
        <v>155</v>
      </c>
      <c r="C4" s="7"/>
      <c r="D4" s="7">
        <v>40</v>
      </c>
      <c r="E4" s="9">
        <v>201</v>
      </c>
      <c r="F4" s="23" t="s">
        <v>93</v>
      </c>
      <c r="G4" s="23" t="s">
        <v>23</v>
      </c>
      <c r="H4" s="32" t="b">
        <v>0</v>
      </c>
      <c r="I4" s="23" t="s">
        <v>25</v>
      </c>
      <c r="J4" s="26" t="s">
        <v>158</v>
      </c>
      <c r="K4" s="26" t="s">
        <v>159</v>
      </c>
      <c r="L4" s="45" t="s">
        <v>160</v>
      </c>
      <c r="M4" s="46" t="s">
        <v>20</v>
      </c>
    </row>
    <row r="5" spans="1:13" x14ac:dyDescent="0.35">
      <c r="A5" t="s">
        <v>217</v>
      </c>
      <c r="B5" s="28" t="s">
        <v>161</v>
      </c>
      <c r="C5" s="1"/>
      <c r="D5" s="1">
        <v>40</v>
      </c>
      <c r="E5" s="10">
        <v>274</v>
      </c>
      <c r="F5" s="13" t="s">
        <v>93</v>
      </c>
      <c r="G5" s="13" t="s">
        <v>23</v>
      </c>
      <c r="H5" s="32" t="b">
        <v>0</v>
      </c>
      <c r="I5" s="13" t="s">
        <v>25</v>
      </c>
      <c r="J5" s="25" t="s">
        <v>165</v>
      </c>
      <c r="K5" s="25" t="s">
        <v>166</v>
      </c>
      <c r="L5" s="44" t="s">
        <v>166</v>
      </c>
      <c r="M5" s="44" t="s">
        <v>121</v>
      </c>
    </row>
    <row r="6" spans="1:13" x14ac:dyDescent="0.35">
      <c r="A6" t="s">
        <v>217</v>
      </c>
      <c r="B6" s="28" t="s">
        <v>162</v>
      </c>
      <c r="C6" s="7"/>
      <c r="D6" s="7">
        <v>40</v>
      </c>
      <c r="E6" s="9">
        <v>450</v>
      </c>
      <c r="F6" s="23" t="s">
        <v>93</v>
      </c>
      <c r="G6" s="23" t="s">
        <v>23</v>
      </c>
      <c r="H6" s="32" t="b">
        <v>0</v>
      </c>
      <c r="I6" s="23" t="s">
        <v>25</v>
      </c>
      <c r="J6" s="26" t="s">
        <v>167</v>
      </c>
      <c r="K6" s="26" t="s">
        <v>168</v>
      </c>
      <c r="L6" s="46" t="s">
        <v>167</v>
      </c>
      <c r="M6" s="46" t="s">
        <v>31</v>
      </c>
    </row>
    <row r="7" spans="1:13" x14ac:dyDescent="0.35">
      <c r="A7" t="s">
        <v>217</v>
      </c>
      <c r="B7" s="28" t="s">
        <v>91</v>
      </c>
      <c r="C7" s="1" t="s">
        <v>42</v>
      </c>
      <c r="D7" s="1">
        <v>41</v>
      </c>
      <c r="E7" s="10">
        <v>229</v>
      </c>
      <c r="F7" s="13" t="s">
        <v>93</v>
      </c>
      <c r="G7" s="13" t="s">
        <v>23</v>
      </c>
      <c r="H7" s="32" t="s">
        <v>93</v>
      </c>
      <c r="I7" s="13" t="s">
        <v>23</v>
      </c>
      <c r="J7" s="22" t="s">
        <v>118</v>
      </c>
      <c r="K7" s="22" t="s">
        <v>117</v>
      </c>
      <c r="L7" s="46" t="s">
        <v>92</v>
      </c>
      <c r="M7" s="47" t="s">
        <v>31</v>
      </c>
    </row>
    <row r="8" spans="1:13" x14ac:dyDescent="0.35">
      <c r="A8" t="s">
        <v>217</v>
      </c>
      <c r="B8" s="28" t="s">
        <v>164</v>
      </c>
      <c r="C8" s="7"/>
      <c r="D8" s="7">
        <v>41</v>
      </c>
      <c r="E8" s="9">
        <v>270</v>
      </c>
      <c r="F8" s="23" t="s">
        <v>93</v>
      </c>
      <c r="G8" s="23" t="s">
        <v>23</v>
      </c>
      <c r="H8" s="32" t="b">
        <v>0</v>
      </c>
      <c r="I8" s="23" t="s">
        <v>25</v>
      </c>
      <c r="J8" s="26" t="s">
        <v>172</v>
      </c>
      <c r="K8" s="26" t="s">
        <v>173</v>
      </c>
      <c r="L8" s="44" t="s">
        <v>173</v>
      </c>
      <c r="M8" s="44" t="s">
        <v>121</v>
      </c>
    </row>
    <row r="9" spans="1:13" x14ac:dyDescent="0.35">
      <c r="A9" t="s">
        <v>218</v>
      </c>
      <c r="B9" s="28" t="s">
        <v>55</v>
      </c>
      <c r="C9" s="1" t="s">
        <v>27</v>
      </c>
      <c r="D9" s="1">
        <v>40</v>
      </c>
      <c r="E9" s="10">
        <v>26</v>
      </c>
      <c r="F9" s="13" t="b">
        <v>0</v>
      </c>
      <c r="G9" s="13" t="s">
        <v>25</v>
      </c>
      <c r="H9" s="32" t="s">
        <v>93</v>
      </c>
      <c r="I9" s="13" t="s">
        <v>23</v>
      </c>
      <c r="J9" s="1" t="s">
        <v>115</v>
      </c>
      <c r="K9" s="1" t="s">
        <v>116</v>
      </c>
      <c r="L9" s="28" t="s">
        <v>47</v>
      </c>
      <c r="M9" s="28" t="s">
        <v>16</v>
      </c>
    </row>
    <row r="10" spans="1:13" x14ac:dyDescent="0.35">
      <c r="A10" t="s">
        <v>218</v>
      </c>
      <c r="B10" s="28" t="s">
        <v>154</v>
      </c>
      <c r="C10" s="7"/>
      <c r="D10" s="7">
        <v>40</v>
      </c>
      <c r="E10" s="9">
        <v>198</v>
      </c>
      <c r="F10" s="23" t="s">
        <v>93</v>
      </c>
      <c r="G10" s="23" t="s">
        <v>23</v>
      </c>
      <c r="H10" s="32" t="b">
        <v>0</v>
      </c>
      <c r="I10" s="23" t="s">
        <v>25</v>
      </c>
      <c r="J10" s="26" t="s">
        <v>156</v>
      </c>
      <c r="K10" s="26" t="s">
        <v>157</v>
      </c>
      <c r="L10" s="44" t="s">
        <v>157</v>
      </c>
      <c r="M10" s="44" t="s">
        <v>121</v>
      </c>
    </row>
    <row r="11" spans="1:13" x14ac:dyDescent="0.35">
      <c r="A11" t="s">
        <v>218</v>
      </c>
      <c r="B11" s="28" t="s">
        <v>155</v>
      </c>
      <c r="C11" s="1"/>
      <c r="D11" s="1">
        <v>40</v>
      </c>
      <c r="E11" s="10">
        <v>201</v>
      </c>
      <c r="F11" s="13" t="s">
        <v>93</v>
      </c>
      <c r="G11" s="13" t="s">
        <v>23</v>
      </c>
      <c r="H11" s="32" t="b">
        <v>0</v>
      </c>
      <c r="I11" s="13" t="s">
        <v>25</v>
      </c>
      <c r="J11" s="25" t="s">
        <v>158</v>
      </c>
      <c r="K11" s="25" t="s">
        <v>159</v>
      </c>
      <c r="L11" s="45" t="s">
        <v>160</v>
      </c>
      <c r="M11" s="46" t="s">
        <v>20</v>
      </c>
    </row>
    <row r="12" spans="1:13" x14ac:dyDescent="0.35">
      <c r="A12" t="s">
        <v>218</v>
      </c>
      <c r="B12" s="28" t="s">
        <v>161</v>
      </c>
      <c r="C12" s="7"/>
      <c r="D12" s="7">
        <v>40</v>
      </c>
      <c r="E12" s="9">
        <v>274</v>
      </c>
      <c r="F12" s="23" t="s">
        <v>93</v>
      </c>
      <c r="G12" s="23" t="s">
        <v>23</v>
      </c>
      <c r="H12" s="32" t="b">
        <v>0</v>
      </c>
      <c r="I12" s="23" t="s">
        <v>25</v>
      </c>
      <c r="J12" s="26" t="s">
        <v>165</v>
      </c>
      <c r="K12" s="26" t="s">
        <v>166</v>
      </c>
      <c r="L12" s="44" t="s">
        <v>166</v>
      </c>
      <c r="M12" s="44" t="s">
        <v>121</v>
      </c>
    </row>
    <row r="13" spans="1:13" x14ac:dyDescent="0.35">
      <c r="A13" t="s">
        <v>218</v>
      </c>
      <c r="B13" s="28" t="s">
        <v>154</v>
      </c>
      <c r="C13" s="1"/>
      <c r="D13" s="1">
        <v>40</v>
      </c>
      <c r="E13" s="10">
        <v>198</v>
      </c>
      <c r="F13" s="13" t="s">
        <v>93</v>
      </c>
      <c r="G13" s="13" t="s">
        <v>23</v>
      </c>
      <c r="H13" s="32" t="b">
        <v>0</v>
      </c>
      <c r="I13" s="13" t="s">
        <v>25</v>
      </c>
      <c r="J13" s="25" t="s">
        <v>156</v>
      </c>
      <c r="K13" s="25" t="s">
        <v>157</v>
      </c>
      <c r="L13" s="44" t="s">
        <v>157</v>
      </c>
      <c r="M13" s="44" t="s">
        <v>121</v>
      </c>
    </row>
    <row r="14" spans="1:13" x14ac:dyDescent="0.35">
      <c r="A14" t="s">
        <v>218</v>
      </c>
      <c r="B14" s="28" t="s">
        <v>155</v>
      </c>
      <c r="C14" s="7"/>
      <c r="D14" s="7">
        <v>40</v>
      </c>
      <c r="E14" s="9">
        <v>201</v>
      </c>
      <c r="F14" s="23" t="s">
        <v>93</v>
      </c>
      <c r="G14" s="23" t="s">
        <v>23</v>
      </c>
      <c r="H14" s="32" t="b">
        <v>0</v>
      </c>
      <c r="I14" s="23" t="s">
        <v>25</v>
      </c>
      <c r="J14" s="26" t="s">
        <v>158</v>
      </c>
      <c r="K14" s="26" t="s">
        <v>159</v>
      </c>
      <c r="L14" s="45" t="s">
        <v>160</v>
      </c>
      <c r="M14" s="46" t="s">
        <v>20</v>
      </c>
    </row>
    <row r="15" spans="1:13" x14ac:dyDescent="0.35">
      <c r="A15" t="s">
        <v>218</v>
      </c>
      <c r="B15" s="28" t="s">
        <v>161</v>
      </c>
      <c r="C15" s="1"/>
      <c r="D15" s="1">
        <v>40</v>
      </c>
      <c r="E15" s="10">
        <v>274</v>
      </c>
      <c r="F15" s="13" t="s">
        <v>93</v>
      </c>
      <c r="G15" s="13" t="s">
        <v>23</v>
      </c>
      <c r="H15" s="32" t="b">
        <v>0</v>
      </c>
      <c r="I15" s="13" t="s">
        <v>25</v>
      </c>
      <c r="J15" s="25" t="s">
        <v>165</v>
      </c>
      <c r="K15" s="25" t="s">
        <v>166</v>
      </c>
      <c r="L15" s="44" t="s">
        <v>166</v>
      </c>
      <c r="M15" s="44" t="s">
        <v>121</v>
      </c>
    </row>
    <row r="16" spans="1:13" x14ac:dyDescent="0.35">
      <c r="A16" t="s">
        <v>218</v>
      </c>
      <c r="B16" s="28" t="s">
        <v>74</v>
      </c>
      <c r="C16" s="7" t="s">
        <v>30</v>
      </c>
      <c r="D16" s="7">
        <v>40</v>
      </c>
      <c r="E16" s="9">
        <v>398</v>
      </c>
      <c r="F16" s="23" t="b">
        <v>0</v>
      </c>
      <c r="G16" s="23" t="s">
        <v>25</v>
      </c>
      <c r="H16" s="32" t="s">
        <v>93</v>
      </c>
      <c r="I16" s="23" t="s">
        <v>23</v>
      </c>
      <c r="J16" s="7" t="s">
        <v>186</v>
      </c>
      <c r="K16" s="7" t="s">
        <v>187</v>
      </c>
      <c r="L16" s="28" t="s">
        <v>75</v>
      </c>
      <c r="M16" s="28" t="s">
        <v>31</v>
      </c>
    </row>
    <row r="17" spans="1:13" x14ac:dyDescent="0.35">
      <c r="A17" t="s">
        <v>218</v>
      </c>
      <c r="B17" s="28" t="s">
        <v>162</v>
      </c>
      <c r="C17" s="1"/>
      <c r="D17" s="1">
        <v>40</v>
      </c>
      <c r="E17" s="10">
        <v>450</v>
      </c>
      <c r="F17" s="13" t="s">
        <v>93</v>
      </c>
      <c r="G17" s="13" t="s">
        <v>23</v>
      </c>
      <c r="H17" s="32" t="b">
        <v>0</v>
      </c>
      <c r="I17" s="13" t="s">
        <v>25</v>
      </c>
      <c r="J17" s="25" t="s">
        <v>167</v>
      </c>
      <c r="K17" s="25" t="s">
        <v>168</v>
      </c>
      <c r="L17" s="46" t="s">
        <v>167</v>
      </c>
      <c r="M17" s="46" t="s">
        <v>31</v>
      </c>
    </row>
    <row r="18" spans="1:13" x14ac:dyDescent="0.35">
      <c r="A18" t="s">
        <v>218</v>
      </c>
      <c r="B18" s="28" t="s">
        <v>162</v>
      </c>
      <c r="C18" s="7"/>
      <c r="D18" s="7">
        <v>40</v>
      </c>
      <c r="E18" s="9">
        <v>450</v>
      </c>
      <c r="F18" s="23" t="s">
        <v>93</v>
      </c>
      <c r="G18" s="23" t="s">
        <v>23</v>
      </c>
      <c r="H18" s="32" t="b">
        <v>0</v>
      </c>
      <c r="I18" s="23" t="s">
        <v>25</v>
      </c>
      <c r="J18" s="26" t="s">
        <v>167</v>
      </c>
      <c r="K18" s="26" t="s">
        <v>168</v>
      </c>
      <c r="L18" s="46" t="s">
        <v>167</v>
      </c>
      <c r="M18" s="46" t="s">
        <v>31</v>
      </c>
    </row>
    <row r="19" spans="1:13" x14ac:dyDescent="0.35">
      <c r="A19" t="s">
        <v>218</v>
      </c>
      <c r="B19" s="28" t="s">
        <v>91</v>
      </c>
      <c r="C19" s="1" t="s">
        <v>62</v>
      </c>
      <c r="D19" s="1">
        <v>41</v>
      </c>
      <c r="E19" s="10">
        <v>229</v>
      </c>
      <c r="F19" s="13" t="s">
        <v>93</v>
      </c>
      <c r="G19" s="13" t="s">
        <v>23</v>
      </c>
      <c r="H19" s="32" t="s">
        <v>93</v>
      </c>
      <c r="I19" s="13" t="s">
        <v>23</v>
      </c>
      <c r="J19" s="22" t="s">
        <v>118</v>
      </c>
      <c r="K19" s="22" t="s">
        <v>117</v>
      </c>
      <c r="L19" s="46" t="s">
        <v>92</v>
      </c>
      <c r="M19" s="28" t="s">
        <v>31</v>
      </c>
    </row>
    <row r="20" spans="1:13" x14ac:dyDescent="0.35">
      <c r="A20" t="s">
        <v>218</v>
      </c>
      <c r="B20" s="28" t="s">
        <v>164</v>
      </c>
      <c r="C20" s="7" t="s">
        <v>59</v>
      </c>
      <c r="D20" s="7">
        <v>41</v>
      </c>
      <c r="E20" s="9">
        <v>270</v>
      </c>
      <c r="F20" s="23" t="s">
        <v>93</v>
      </c>
      <c r="G20" s="23" t="s">
        <v>23</v>
      </c>
      <c r="H20" s="32" t="s">
        <v>93</v>
      </c>
      <c r="I20" s="23" t="s">
        <v>23</v>
      </c>
      <c r="J20" s="7" t="s">
        <v>172</v>
      </c>
      <c r="K20" s="7" t="s">
        <v>173</v>
      </c>
      <c r="L20" s="28" t="s">
        <v>178</v>
      </c>
      <c r="M20" s="28" t="s">
        <v>31</v>
      </c>
    </row>
    <row r="21" spans="1:13" x14ac:dyDescent="0.35">
      <c r="A21" t="s">
        <v>219</v>
      </c>
      <c r="B21" s="28" t="s">
        <v>55</v>
      </c>
      <c r="C21" s="1" t="s">
        <v>30</v>
      </c>
      <c r="D21" s="1">
        <v>40</v>
      </c>
      <c r="E21" s="10">
        <v>26</v>
      </c>
      <c r="F21" s="13" t="b">
        <v>0</v>
      </c>
      <c r="G21" s="13" t="s">
        <v>25</v>
      </c>
      <c r="H21" s="32" t="s">
        <v>93</v>
      </c>
      <c r="I21" s="13" t="s">
        <v>23</v>
      </c>
      <c r="J21" s="1" t="s">
        <v>115</v>
      </c>
      <c r="K21" s="1" t="s">
        <v>116</v>
      </c>
      <c r="L21" s="28" t="s">
        <v>47</v>
      </c>
      <c r="M21" s="28" t="s">
        <v>16</v>
      </c>
    </row>
    <row r="22" spans="1:13" x14ac:dyDescent="0.35">
      <c r="A22" t="s">
        <v>219</v>
      </c>
      <c r="B22" s="28" t="s">
        <v>87</v>
      </c>
      <c r="C22" s="7" t="s">
        <v>42</v>
      </c>
      <c r="D22" s="7">
        <v>40</v>
      </c>
      <c r="E22" s="9">
        <v>39</v>
      </c>
      <c r="F22" s="23" t="b">
        <v>0</v>
      </c>
      <c r="G22" s="23" t="s">
        <v>25</v>
      </c>
      <c r="H22" s="32" t="s">
        <v>93</v>
      </c>
      <c r="I22" s="23" t="s">
        <v>23</v>
      </c>
      <c r="J22" s="7" t="s">
        <v>89</v>
      </c>
      <c r="K22" s="7" t="s">
        <v>191</v>
      </c>
      <c r="L22" s="28" t="s">
        <v>89</v>
      </c>
      <c r="M22" s="35" t="s">
        <v>20</v>
      </c>
    </row>
    <row r="23" spans="1:13" x14ac:dyDescent="0.35">
      <c r="A23" t="s">
        <v>219</v>
      </c>
      <c r="B23" s="28" t="s">
        <v>154</v>
      </c>
      <c r="C23" s="1"/>
      <c r="D23" s="1">
        <v>40</v>
      </c>
      <c r="E23" s="10">
        <v>198</v>
      </c>
      <c r="F23" s="13" t="s">
        <v>93</v>
      </c>
      <c r="G23" s="13" t="s">
        <v>23</v>
      </c>
      <c r="H23" s="32" t="b">
        <v>0</v>
      </c>
      <c r="I23" s="13" t="s">
        <v>25</v>
      </c>
      <c r="J23" s="25" t="s">
        <v>156</v>
      </c>
      <c r="K23" s="25" t="s">
        <v>157</v>
      </c>
      <c r="L23" s="44" t="s">
        <v>157</v>
      </c>
      <c r="M23" s="44" t="s">
        <v>121</v>
      </c>
    </row>
    <row r="24" spans="1:13" x14ac:dyDescent="0.35">
      <c r="A24" t="s">
        <v>219</v>
      </c>
      <c r="B24" s="28" t="s">
        <v>155</v>
      </c>
      <c r="C24" s="7"/>
      <c r="D24" s="7">
        <v>40</v>
      </c>
      <c r="E24" s="9">
        <v>201</v>
      </c>
      <c r="F24" s="23" t="s">
        <v>93</v>
      </c>
      <c r="G24" s="23" t="s">
        <v>23</v>
      </c>
      <c r="H24" s="32" t="b">
        <v>0</v>
      </c>
      <c r="I24" s="23" t="s">
        <v>25</v>
      </c>
      <c r="J24" s="26" t="s">
        <v>158</v>
      </c>
      <c r="K24" s="26" t="s">
        <v>159</v>
      </c>
      <c r="L24" s="45" t="s">
        <v>160</v>
      </c>
      <c r="M24" s="46" t="s">
        <v>20</v>
      </c>
    </row>
    <row r="25" spans="1:13" x14ac:dyDescent="0.35">
      <c r="A25" t="s">
        <v>219</v>
      </c>
      <c r="B25" s="28" t="s">
        <v>161</v>
      </c>
      <c r="C25" s="1"/>
      <c r="D25" s="1">
        <v>40</v>
      </c>
      <c r="E25" s="10">
        <v>274</v>
      </c>
      <c r="F25" s="13" t="s">
        <v>93</v>
      </c>
      <c r="G25" s="13" t="s">
        <v>23</v>
      </c>
      <c r="H25" s="32" t="b">
        <v>0</v>
      </c>
      <c r="I25" s="13" t="s">
        <v>25</v>
      </c>
      <c r="J25" s="25" t="s">
        <v>165</v>
      </c>
      <c r="K25" s="25" t="s">
        <v>166</v>
      </c>
      <c r="L25" s="44" t="s">
        <v>166</v>
      </c>
      <c r="M25" s="44" t="s">
        <v>121</v>
      </c>
    </row>
    <row r="26" spans="1:13" x14ac:dyDescent="0.35">
      <c r="A26" t="s">
        <v>219</v>
      </c>
      <c r="B26" s="28" t="s">
        <v>88</v>
      </c>
      <c r="C26" s="7" t="s">
        <v>29</v>
      </c>
      <c r="D26" s="7">
        <v>40</v>
      </c>
      <c r="E26" s="9">
        <v>343</v>
      </c>
      <c r="F26" s="23" t="b">
        <v>0</v>
      </c>
      <c r="G26" s="23" t="s">
        <v>23</v>
      </c>
      <c r="H26" s="32" t="s">
        <v>93</v>
      </c>
      <c r="I26" s="23" t="s">
        <v>23</v>
      </c>
      <c r="J26" s="7" t="s">
        <v>90</v>
      </c>
      <c r="K26" s="7" t="s">
        <v>192</v>
      </c>
      <c r="L26" s="28" t="s">
        <v>90</v>
      </c>
      <c r="M26" s="35" t="s">
        <v>31</v>
      </c>
    </row>
    <row r="27" spans="1:13" x14ac:dyDescent="0.35">
      <c r="A27" t="s">
        <v>219</v>
      </c>
      <c r="B27" s="28" t="s">
        <v>74</v>
      </c>
      <c r="C27" s="1" t="s">
        <v>22</v>
      </c>
      <c r="D27" s="1">
        <v>40</v>
      </c>
      <c r="E27" s="10">
        <v>398</v>
      </c>
      <c r="F27" s="13" t="b">
        <v>0</v>
      </c>
      <c r="G27" s="13" t="s">
        <v>25</v>
      </c>
      <c r="H27" s="32" t="s">
        <v>93</v>
      </c>
      <c r="I27" s="13" t="s">
        <v>23</v>
      </c>
      <c r="J27" s="1" t="s">
        <v>186</v>
      </c>
      <c r="K27" s="1" t="s">
        <v>187</v>
      </c>
      <c r="L27" s="28" t="s">
        <v>75</v>
      </c>
      <c r="M27" s="28" t="s">
        <v>31</v>
      </c>
    </row>
    <row r="28" spans="1:13" x14ac:dyDescent="0.35">
      <c r="A28" t="s">
        <v>219</v>
      </c>
      <c r="B28" s="28" t="s">
        <v>162</v>
      </c>
      <c r="C28" s="7"/>
      <c r="D28" s="7">
        <v>40</v>
      </c>
      <c r="E28" s="9">
        <v>450</v>
      </c>
      <c r="F28" s="23" t="s">
        <v>93</v>
      </c>
      <c r="G28" s="23" t="s">
        <v>23</v>
      </c>
      <c r="H28" s="32" t="b">
        <v>0</v>
      </c>
      <c r="I28" s="23" t="s">
        <v>25</v>
      </c>
      <c r="J28" s="26" t="s">
        <v>167</v>
      </c>
      <c r="K28" s="26" t="s">
        <v>168</v>
      </c>
      <c r="L28" s="46" t="s">
        <v>167</v>
      </c>
      <c r="M28" s="46" t="s">
        <v>31</v>
      </c>
    </row>
    <row r="29" spans="1:13" x14ac:dyDescent="0.35">
      <c r="A29" t="s">
        <v>219</v>
      </c>
      <c r="B29" s="28" t="s">
        <v>196</v>
      </c>
      <c r="C29" s="1" t="s">
        <v>29</v>
      </c>
      <c r="D29" s="1">
        <v>41</v>
      </c>
      <c r="E29" s="10">
        <v>34</v>
      </c>
      <c r="F29" s="13" t="b">
        <v>0</v>
      </c>
      <c r="G29" s="13" t="s">
        <v>25</v>
      </c>
      <c r="H29" s="32" t="s">
        <v>93</v>
      </c>
      <c r="I29" s="13" t="s">
        <v>23</v>
      </c>
      <c r="J29" s="1" t="s">
        <v>198</v>
      </c>
      <c r="K29" s="1" t="s">
        <v>199</v>
      </c>
      <c r="L29" s="28" t="s">
        <v>197</v>
      </c>
      <c r="M29" s="28" t="s">
        <v>31</v>
      </c>
    </row>
    <row r="30" spans="1:13" x14ac:dyDescent="0.35">
      <c r="A30" t="s">
        <v>219</v>
      </c>
      <c r="B30" s="28" t="s">
        <v>91</v>
      </c>
      <c r="C30" s="7" t="s">
        <v>37</v>
      </c>
      <c r="D30" s="7">
        <v>41</v>
      </c>
      <c r="E30" s="9">
        <v>229</v>
      </c>
      <c r="F30" s="23" t="s">
        <v>93</v>
      </c>
      <c r="G30" s="23" t="s">
        <v>23</v>
      </c>
      <c r="H30" s="32" t="s">
        <v>93</v>
      </c>
      <c r="I30" s="23" t="s">
        <v>23</v>
      </c>
      <c r="J30" s="17" t="s">
        <v>118</v>
      </c>
      <c r="K30" s="17" t="s">
        <v>117</v>
      </c>
      <c r="L30" s="28" t="s">
        <v>92</v>
      </c>
      <c r="M30" s="28" t="s">
        <v>31</v>
      </c>
    </row>
    <row r="31" spans="1:13" x14ac:dyDescent="0.35">
      <c r="A31" t="s">
        <v>219</v>
      </c>
      <c r="B31" s="28" t="s">
        <v>164</v>
      </c>
      <c r="C31" s="1" t="s">
        <v>59</v>
      </c>
      <c r="D31" s="1">
        <v>41</v>
      </c>
      <c r="E31" s="10">
        <v>270</v>
      </c>
      <c r="F31" s="13" t="s">
        <v>93</v>
      </c>
      <c r="G31" s="13" t="s">
        <v>23</v>
      </c>
      <c r="H31" s="32" t="s">
        <v>93</v>
      </c>
      <c r="I31" s="13" t="s">
        <v>23</v>
      </c>
      <c r="J31" s="1" t="s">
        <v>172</v>
      </c>
      <c r="K31" s="1" t="s">
        <v>173</v>
      </c>
      <c r="L31" s="28" t="s">
        <v>178</v>
      </c>
      <c r="M31" s="28" t="s">
        <v>31</v>
      </c>
    </row>
    <row r="34" spans="1:9" x14ac:dyDescent="0.35">
      <c r="A34" t="s">
        <v>208</v>
      </c>
      <c r="B34" s="31">
        <f>SUM(B35:B39)</f>
        <v>4020</v>
      </c>
      <c r="E34" s="6"/>
      <c r="F34" s="14"/>
    </row>
    <row r="35" spans="1:9" x14ac:dyDescent="0.35">
      <c r="A35" t="s">
        <v>209</v>
      </c>
      <c r="B35" s="31">
        <v>804</v>
      </c>
      <c r="E35" s="6"/>
      <c r="F35" s="14"/>
    </row>
    <row r="36" spans="1:9" x14ac:dyDescent="0.35">
      <c r="A36" t="s">
        <v>210</v>
      </c>
      <c r="B36" s="31">
        <v>804</v>
      </c>
      <c r="E36" s="6"/>
      <c r="F36" s="14"/>
      <c r="G36" t="s">
        <v>217</v>
      </c>
      <c r="H36" s="31" t="s">
        <v>218</v>
      </c>
      <c r="I36" t="s">
        <v>219</v>
      </c>
    </row>
    <row r="37" spans="1:9" x14ac:dyDescent="0.35">
      <c r="A37" t="s">
        <v>211</v>
      </c>
      <c r="B37" s="31">
        <v>804</v>
      </c>
      <c r="E37" s="6"/>
      <c r="F37" s="13" t="s">
        <v>93</v>
      </c>
      <c r="G37">
        <f>COUNTIF(H2:H8,F37)</f>
        <v>2</v>
      </c>
      <c r="H37" s="31">
        <f>COUNTIF(H9:H20,F37)</f>
        <v>4</v>
      </c>
      <c r="I37">
        <f>COUNTIF(H21:H31,F37)</f>
        <v>7</v>
      </c>
    </row>
    <row r="38" spans="1:9" x14ac:dyDescent="0.35">
      <c r="A38" t="s">
        <v>212</v>
      </c>
      <c r="B38" s="31">
        <v>804</v>
      </c>
      <c r="E38" s="6"/>
      <c r="F38" s="13" t="b">
        <v>0</v>
      </c>
      <c r="G38">
        <f>COUNTIF(H2:H8,F38)</f>
        <v>5</v>
      </c>
      <c r="H38" s="31">
        <f>COUNTIF(H9:H20,F38)</f>
        <v>8</v>
      </c>
      <c r="I38">
        <f>COUNTIF(H21:H31,F38)</f>
        <v>4</v>
      </c>
    </row>
    <row r="39" spans="1:9" x14ac:dyDescent="0.35">
      <c r="A39" t="s">
        <v>213</v>
      </c>
      <c r="B39" s="31">
        <v>804</v>
      </c>
      <c r="E39" s="6"/>
      <c r="F39" s="14" t="s">
        <v>23</v>
      </c>
      <c r="G39">
        <f>COUNTIF(I2:I8,F39)</f>
        <v>2</v>
      </c>
      <c r="H39" s="31">
        <f>COUNTIF(I9:I20,F39)</f>
        <v>4</v>
      </c>
      <c r="I39">
        <f>COUNTIF(I21:I31,F39)</f>
        <v>7</v>
      </c>
    </row>
    <row r="40" spans="1:9" x14ac:dyDescent="0.35">
      <c r="E40" s="6"/>
      <c r="F40" s="14" t="s">
        <v>95</v>
      </c>
      <c r="G40">
        <f>COUNTIF(I2:I8,F40)</f>
        <v>0</v>
      </c>
      <c r="H40" s="31">
        <f>COUNTIF(I9:I20,F40)</f>
        <v>0</v>
      </c>
      <c r="I40">
        <f>COUNTIF(I21:I31,F40)</f>
        <v>0</v>
      </c>
    </row>
    <row r="41" spans="1:9" x14ac:dyDescent="0.35">
      <c r="E41" s="6"/>
      <c r="F41" s="14" t="s">
        <v>96</v>
      </c>
      <c r="G41">
        <f>COUNTIF(I2:I8,F41)</f>
        <v>0</v>
      </c>
      <c r="H41" s="31">
        <f>COUNTIF(I9:I20,F41)</f>
        <v>0</v>
      </c>
      <c r="I41">
        <f>COUNTIF(I21:I31,F41)</f>
        <v>0</v>
      </c>
    </row>
    <row r="42" spans="1:9" x14ac:dyDescent="0.35">
      <c r="E42" s="6"/>
      <c r="F42" s="13" t="s">
        <v>25</v>
      </c>
      <c r="G42">
        <f>COUNTIF(I2:I8,F42)</f>
        <v>5</v>
      </c>
      <c r="H42" s="31">
        <f>COUNTIF(I9:I20,F42)</f>
        <v>8</v>
      </c>
      <c r="I42">
        <f>COUNTIF(I21:I31,F42)</f>
        <v>4</v>
      </c>
    </row>
    <row r="43" spans="1:9" x14ac:dyDescent="0.35">
      <c r="E43" s="6"/>
      <c r="F43" s="14"/>
    </row>
    <row r="44" spans="1:9" x14ac:dyDescent="0.35">
      <c r="E44" s="6"/>
      <c r="F44" s="14" t="s">
        <v>202</v>
      </c>
      <c r="G44">
        <f>SUM(G37, G38)</f>
        <v>7</v>
      </c>
      <c r="H44" s="31">
        <f>SUM(H37:H38)</f>
        <v>12</v>
      </c>
      <c r="I44">
        <f>SUM(I37:I38)</f>
        <v>11</v>
      </c>
    </row>
    <row r="45" spans="1:9" x14ac:dyDescent="0.35">
      <c r="E45" s="6"/>
      <c r="F45" s="14" t="s">
        <v>203</v>
      </c>
      <c r="G45">
        <f>SUM(G39, G40, G41, G42)</f>
        <v>7</v>
      </c>
      <c r="H45" s="31">
        <f>SUM(H39:H42)</f>
        <v>12</v>
      </c>
      <c r="I45">
        <f>SUM(I39:I42)</f>
        <v>11</v>
      </c>
    </row>
    <row r="46" spans="1:9" x14ac:dyDescent="0.35">
      <c r="E46" s="6"/>
      <c r="F46" s="14"/>
    </row>
    <row r="47" spans="1:9" x14ac:dyDescent="0.35">
      <c r="A47" t="s">
        <v>215</v>
      </c>
      <c r="E47" s="6"/>
      <c r="F47" s="14" t="s">
        <v>204</v>
      </c>
      <c r="G47" s="24">
        <f>G39/(G39+G42)</f>
        <v>0.2857142857142857</v>
      </c>
      <c r="H47" s="33">
        <f>H39/(H39+H42)</f>
        <v>0.33333333333333331</v>
      </c>
      <c r="I47" s="24">
        <f>I39/(I39+I42)</f>
        <v>0.63636363636363635</v>
      </c>
    </row>
    <row r="48" spans="1:9" x14ac:dyDescent="0.35">
      <c r="A48" t="s">
        <v>207</v>
      </c>
      <c r="E48" s="6"/>
      <c r="F48" s="14" t="s">
        <v>205</v>
      </c>
      <c r="G48" s="24">
        <f>G39/(G39+G41)</f>
        <v>1</v>
      </c>
      <c r="H48" s="33">
        <f>H39/(H39+H41)</f>
        <v>1</v>
      </c>
      <c r="I48" s="24">
        <f>I39/(I39+I41)</f>
        <v>1</v>
      </c>
    </row>
    <row r="49" spans="5:9" x14ac:dyDescent="0.35">
      <c r="E49" s="6"/>
      <c r="F49" s="14"/>
    </row>
    <row r="50" spans="5:9" x14ac:dyDescent="0.35">
      <c r="F50" s="14" t="s">
        <v>206</v>
      </c>
      <c r="G50" s="24">
        <f>G37/B39</f>
        <v>2.4875621890547263E-3</v>
      </c>
      <c r="H50" s="33">
        <f>H37/B39</f>
        <v>4.9751243781094526E-3</v>
      </c>
      <c r="I50" s="24">
        <f>I37/B39</f>
        <v>8.7064676616915426E-3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8777-218C-491D-BECC-035E6867F59D}">
  <dimension ref="A1:N58"/>
  <sheetViews>
    <sheetView topLeftCell="A33" workbookViewId="0">
      <selection activeCell="C2" sqref="C2"/>
    </sheetView>
  </sheetViews>
  <sheetFormatPr defaultRowHeight="14.5" x14ac:dyDescent="0.35"/>
  <cols>
    <col min="2" max="2" width="9.26953125" customWidth="1"/>
    <col min="3" max="3" width="6.26953125" customWidth="1"/>
    <col min="4" max="4" width="7.6328125" customWidth="1"/>
    <col min="5" max="5" width="7.1796875" customWidth="1"/>
    <col min="6" max="6" width="17.1796875" customWidth="1"/>
    <col min="7" max="7" width="12.1796875" customWidth="1"/>
    <col min="8" max="8" width="16.26953125" customWidth="1"/>
    <col min="9" max="9" width="14.81640625" customWidth="1"/>
    <col min="10" max="10" width="18.90625" customWidth="1"/>
    <col min="11" max="12" width="8.90625" customWidth="1"/>
    <col min="13" max="13" width="16.81640625" customWidth="1"/>
    <col min="14" max="14" width="16.1796875" customWidth="1"/>
  </cols>
  <sheetData>
    <row r="1" spans="1:14" x14ac:dyDescent="0.35">
      <c r="A1" s="4" t="s">
        <v>0</v>
      </c>
      <c r="B1" s="4" t="s">
        <v>1</v>
      </c>
      <c r="C1" s="4" t="s">
        <v>231</v>
      </c>
      <c r="D1" s="4" t="s">
        <v>3</v>
      </c>
      <c r="E1" s="4" t="s">
        <v>4</v>
      </c>
      <c r="F1" s="4" t="s">
        <v>220</v>
      </c>
      <c r="G1" s="36" t="s">
        <v>5</v>
      </c>
      <c r="H1" s="21" t="s">
        <v>6</v>
      </c>
      <c r="I1" s="4" t="s">
        <v>76</v>
      </c>
      <c r="J1" s="4" t="s">
        <v>77</v>
      </c>
      <c r="K1" s="4" t="s">
        <v>98</v>
      </c>
      <c r="L1" s="4" t="s">
        <v>99</v>
      </c>
      <c r="M1" s="29" t="s">
        <v>227</v>
      </c>
      <c r="N1" s="29" t="s">
        <v>228</v>
      </c>
    </row>
    <row r="2" spans="1:14" x14ac:dyDescent="0.35">
      <c r="A2" s="7" t="s">
        <v>12</v>
      </c>
      <c r="B2" s="28" t="s">
        <v>13</v>
      </c>
      <c r="C2" s="7" t="s">
        <v>42</v>
      </c>
      <c r="D2" s="7">
        <v>24</v>
      </c>
      <c r="E2" s="9">
        <v>52</v>
      </c>
      <c r="F2" s="13" t="s">
        <v>93</v>
      </c>
      <c r="G2" s="23" t="s">
        <v>93</v>
      </c>
      <c r="H2" s="23" t="s">
        <v>23</v>
      </c>
      <c r="I2" s="23" t="s">
        <v>93</v>
      </c>
      <c r="J2" s="23" t="s">
        <v>23</v>
      </c>
      <c r="K2" s="7" t="s">
        <v>100</v>
      </c>
      <c r="L2" s="7" t="s">
        <v>101</v>
      </c>
      <c r="M2" s="7" t="s">
        <v>15</v>
      </c>
      <c r="N2" s="7" t="s">
        <v>16</v>
      </c>
    </row>
    <row r="3" spans="1:14" x14ac:dyDescent="0.35">
      <c r="A3" s="1" t="s">
        <v>12</v>
      </c>
      <c r="B3" s="28" t="s">
        <v>24</v>
      </c>
      <c r="C3" s="1" t="s">
        <v>27</v>
      </c>
      <c r="D3" s="1">
        <v>24</v>
      </c>
      <c r="E3" s="10">
        <v>57</v>
      </c>
      <c r="F3" s="13" t="s">
        <v>93</v>
      </c>
      <c r="G3" s="13" t="s">
        <v>93</v>
      </c>
      <c r="H3" s="13" t="s">
        <v>23</v>
      </c>
      <c r="I3" s="13" t="s">
        <v>93</v>
      </c>
      <c r="J3" s="13" t="s">
        <v>23</v>
      </c>
      <c r="K3" s="1" t="s">
        <v>119</v>
      </c>
      <c r="L3" s="1" t="s">
        <v>120</v>
      </c>
      <c r="M3" s="1" t="s">
        <v>120</v>
      </c>
      <c r="N3" s="1" t="s">
        <v>121</v>
      </c>
    </row>
    <row r="4" spans="1:14" x14ac:dyDescent="0.35">
      <c r="A4" s="7" t="s">
        <v>12</v>
      </c>
      <c r="B4" s="28" t="s">
        <v>17</v>
      </c>
      <c r="C4" s="7" t="s">
        <v>59</v>
      </c>
      <c r="D4" s="7">
        <v>24</v>
      </c>
      <c r="E4" s="9">
        <v>154</v>
      </c>
      <c r="F4" s="13" t="s">
        <v>93</v>
      </c>
      <c r="G4" s="23" t="s">
        <v>93</v>
      </c>
      <c r="H4" s="23" t="s">
        <v>23</v>
      </c>
      <c r="I4" s="23" t="s">
        <v>93</v>
      </c>
      <c r="J4" s="23" t="s">
        <v>23</v>
      </c>
      <c r="K4" s="7" t="s">
        <v>102</v>
      </c>
      <c r="L4" s="7" t="s">
        <v>103</v>
      </c>
      <c r="M4" s="7" t="s">
        <v>19</v>
      </c>
      <c r="N4" s="7" t="s">
        <v>20</v>
      </c>
    </row>
    <row r="5" spans="1:14" x14ac:dyDescent="0.35">
      <c r="A5" s="1" t="s">
        <v>12</v>
      </c>
      <c r="B5" s="28" t="s">
        <v>21</v>
      </c>
      <c r="C5" s="1" t="s">
        <v>59</v>
      </c>
      <c r="D5" s="1">
        <v>24</v>
      </c>
      <c r="E5" s="10">
        <v>183</v>
      </c>
      <c r="F5" s="13" t="s">
        <v>93</v>
      </c>
      <c r="G5" s="13" t="s">
        <v>93</v>
      </c>
      <c r="H5" s="13" t="s">
        <v>23</v>
      </c>
      <c r="I5" s="13" t="s">
        <v>93</v>
      </c>
      <c r="J5" s="13" t="s">
        <v>23</v>
      </c>
      <c r="K5" s="1" t="s">
        <v>102</v>
      </c>
      <c r="L5" s="1" t="s">
        <v>103</v>
      </c>
      <c r="M5" s="1" t="s">
        <v>19</v>
      </c>
      <c r="N5" s="1" t="s">
        <v>20</v>
      </c>
    </row>
    <row r="6" spans="1:14" x14ac:dyDescent="0.35">
      <c r="A6" s="7" t="s">
        <v>12</v>
      </c>
      <c r="B6" s="28" t="s">
        <v>60</v>
      </c>
      <c r="C6" s="7" t="s">
        <v>27</v>
      </c>
      <c r="D6" s="7">
        <v>24</v>
      </c>
      <c r="E6" s="9">
        <v>230</v>
      </c>
      <c r="F6" t="b">
        <v>0</v>
      </c>
      <c r="G6" s="23" t="b">
        <v>0</v>
      </c>
      <c r="H6" s="23" t="s">
        <v>95</v>
      </c>
      <c r="I6" s="23" t="s">
        <v>93</v>
      </c>
      <c r="J6" s="23" t="s">
        <v>96</v>
      </c>
      <c r="K6" s="7" t="s">
        <v>179</v>
      </c>
      <c r="L6" s="7" t="s">
        <v>180</v>
      </c>
      <c r="M6" s="7" t="s">
        <v>66</v>
      </c>
      <c r="N6" s="7" t="s">
        <v>16</v>
      </c>
    </row>
    <row r="7" spans="1:14" x14ac:dyDescent="0.35">
      <c r="A7" s="1" t="s">
        <v>12</v>
      </c>
      <c r="B7" s="28" t="s">
        <v>78</v>
      </c>
      <c r="C7" s="1" t="s">
        <v>59</v>
      </c>
      <c r="D7" s="1">
        <v>24</v>
      </c>
      <c r="E7" s="10">
        <v>231</v>
      </c>
      <c r="F7" t="b">
        <v>0</v>
      </c>
      <c r="G7" s="13" t="b">
        <v>0</v>
      </c>
      <c r="H7" s="13" t="s">
        <v>95</v>
      </c>
      <c r="I7" s="13" t="s">
        <v>93</v>
      </c>
      <c r="J7" s="13" t="s">
        <v>96</v>
      </c>
      <c r="K7" s="1" t="s">
        <v>180</v>
      </c>
      <c r="L7" s="1" t="s">
        <v>188</v>
      </c>
      <c r="M7" s="1" t="s">
        <v>66</v>
      </c>
      <c r="N7" s="2" t="s">
        <v>16</v>
      </c>
    </row>
    <row r="8" spans="1:14" x14ac:dyDescent="0.35">
      <c r="A8" s="7" t="s">
        <v>12</v>
      </c>
      <c r="B8" s="28" t="s">
        <v>61</v>
      </c>
      <c r="C8" s="7" t="s">
        <v>37</v>
      </c>
      <c r="D8" s="7">
        <v>24</v>
      </c>
      <c r="E8" s="9">
        <v>258</v>
      </c>
      <c r="F8" s="13" t="s">
        <v>93</v>
      </c>
      <c r="G8" s="23" t="b">
        <v>0</v>
      </c>
      <c r="H8" s="23" t="s">
        <v>25</v>
      </c>
      <c r="I8" s="23" t="s">
        <v>93</v>
      </c>
      <c r="J8" s="23" t="s">
        <v>23</v>
      </c>
      <c r="K8" s="7" t="s">
        <v>177</v>
      </c>
      <c r="L8" s="7" t="s">
        <v>181</v>
      </c>
      <c r="M8" s="7" t="s">
        <v>67</v>
      </c>
      <c r="N8" s="7" t="s">
        <v>31</v>
      </c>
    </row>
    <row r="9" spans="1:14" x14ac:dyDescent="0.35">
      <c r="A9" s="1" t="s">
        <v>12</v>
      </c>
      <c r="B9" s="28" t="s">
        <v>79</v>
      </c>
      <c r="C9" s="1" t="s">
        <v>30</v>
      </c>
      <c r="D9" s="1">
        <v>24</v>
      </c>
      <c r="E9" s="10">
        <v>359</v>
      </c>
      <c r="F9" s="13" t="s">
        <v>93</v>
      </c>
      <c r="G9" s="13" t="b">
        <v>0</v>
      </c>
      <c r="H9" s="13" t="s">
        <v>25</v>
      </c>
      <c r="I9" s="13" t="s">
        <v>93</v>
      </c>
      <c r="J9" s="13" t="s">
        <v>23</v>
      </c>
      <c r="K9" s="1" t="s">
        <v>189</v>
      </c>
      <c r="L9" s="1" t="s">
        <v>190</v>
      </c>
      <c r="M9" s="1" t="s">
        <v>81</v>
      </c>
      <c r="N9" s="2" t="s">
        <v>20</v>
      </c>
    </row>
    <row r="10" spans="1:14" x14ac:dyDescent="0.35">
      <c r="A10" s="7" t="s">
        <v>12</v>
      </c>
      <c r="B10" s="28" t="s">
        <v>80</v>
      </c>
      <c r="C10" s="7" t="s">
        <v>22</v>
      </c>
      <c r="D10" s="7">
        <v>24</v>
      </c>
      <c r="E10" s="9">
        <v>483</v>
      </c>
      <c r="F10" s="13" t="s">
        <v>93</v>
      </c>
      <c r="G10" s="23" t="s">
        <v>93</v>
      </c>
      <c r="H10" s="23" t="s">
        <v>23</v>
      </c>
      <c r="I10" s="23" t="s">
        <v>93</v>
      </c>
      <c r="J10" s="23" t="s">
        <v>23</v>
      </c>
      <c r="K10" s="7" t="s">
        <v>132</v>
      </c>
      <c r="L10" s="7" t="s">
        <v>133</v>
      </c>
      <c r="M10" s="7" t="s">
        <v>82</v>
      </c>
      <c r="N10" s="7" t="s">
        <v>20</v>
      </c>
    </row>
    <row r="11" spans="1:14" x14ac:dyDescent="0.35">
      <c r="A11" s="1" t="s">
        <v>12</v>
      </c>
      <c r="B11" s="28" t="s">
        <v>63</v>
      </c>
      <c r="C11" s="1" t="s">
        <v>30</v>
      </c>
      <c r="D11" s="1">
        <v>24</v>
      </c>
      <c r="E11" s="10">
        <v>510</v>
      </c>
      <c r="F11" s="13" t="s">
        <v>93</v>
      </c>
      <c r="G11" s="13" t="b">
        <v>0</v>
      </c>
      <c r="H11" s="13" t="s">
        <v>25</v>
      </c>
      <c r="I11" s="13" t="s">
        <v>93</v>
      </c>
      <c r="J11" s="13" t="s">
        <v>23</v>
      </c>
      <c r="K11" s="1" t="s">
        <v>182</v>
      </c>
      <c r="L11" s="1" t="s">
        <v>183</v>
      </c>
      <c r="M11" s="1" t="s">
        <v>68</v>
      </c>
      <c r="N11" s="1" t="s">
        <v>31</v>
      </c>
    </row>
    <row r="12" spans="1:14" x14ac:dyDescent="0.35">
      <c r="A12" s="7" t="s">
        <v>12</v>
      </c>
      <c r="B12" s="28" t="s">
        <v>64</v>
      </c>
      <c r="C12" s="7" t="s">
        <v>59</v>
      </c>
      <c r="D12" s="7">
        <v>24</v>
      </c>
      <c r="E12" s="9">
        <v>688</v>
      </c>
      <c r="F12" s="13" t="s">
        <v>93</v>
      </c>
      <c r="G12" s="23" t="s">
        <v>93</v>
      </c>
      <c r="H12" s="23" t="s">
        <v>23</v>
      </c>
      <c r="I12" s="23" t="s">
        <v>93</v>
      </c>
      <c r="J12" s="23" t="s">
        <v>23</v>
      </c>
      <c r="K12" s="7" t="s">
        <v>134</v>
      </c>
      <c r="L12" s="7" t="s">
        <v>135</v>
      </c>
      <c r="M12" s="7" t="s">
        <v>69</v>
      </c>
      <c r="N12" s="7" t="s">
        <v>20</v>
      </c>
    </row>
    <row r="13" spans="1:14" x14ac:dyDescent="0.35">
      <c r="A13" s="1" t="s">
        <v>12</v>
      </c>
      <c r="B13" s="28" t="s">
        <v>65</v>
      </c>
      <c r="C13" s="1" t="s">
        <v>59</v>
      </c>
      <c r="D13" s="1">
        <v>24</v>
      </c>
      <c r="E13" s="10">
        <v>772</v>
      </c>
      <c r="F13" t="b">
        <v>0</v>
      </c>
      <c r="G13" s="13" t="b">
        <v>0</v>
      </c>
      <c r="H13" s="13" t="s">
        <v>95</v>
      </c>
      <c r="I13" s="13" t="s">
        <v>93</v>
      </c>
      <c r="J13" s="13" t="s">
        <v>96</v>
      </c>
      <c r="K13" s="1" t="s">
        <v>184</v>
      </c>
      <c r="L13" s="1" t="s">
        <v>185</v>
      </c>
      <c r="M13" s="1" t="s">
        <v>70</v>
      </c>
      <c r="N13" s="1" t="s">
        <v>16</v>
      </c>
    </row>
    <row r="14" spans="1:14" x14ac:dyDescent="0.35">
      <c r="A14" s="7" t="s">
        <v>26</v>
      </c>
      <c r="B14" s="28" t="s">
        <v>71</v>
      </c>
      <c r="C14" s="7" t="s">
        <v>29</v>
      </c>
      <c r="D14" s="7">
        <v>1</v>
      </c>
      <c r="E14" s="9">
        <v>41</v>
      </c>
      <c r="F14" s="13" t="s">
        <v>93</v>
      </c>
      <c r="G14" s="23" t="s">
        <v>93</v>
      </c>
      <c r="H14" s="23" t="s">
        <v>23</v>
      </c>
      <c r="I14" s="23" t="s">
        <v>93</v>
      </c>
      <c r="J14" s="23" t="s">
        <v>23</v>
      </c>
      <c r="K14" s="7" t="s">
        <v>136</v>
      </c>
      <c r="L14" s="7" t="s">
        <v>137</v>
      </c>
      <c r="M14" s="7" t="s">
        <v>72</v>
      </c>
      <c r="N14" s="7" t="s">
        <v>31</v>
      </c>
    </row>
    <row r="15" spans="1:14" x14ac:dyDescent="0.35">
      <c r="A15" s="1" t="s">
        <v>26</v>
      </c>
      <c r="B15" s="28" t="s">
        <v>138</v>
      </c>
      <c r="C15" s="1"/>
      <c r="D15" s="1">
        <v>1</v>
      </c>
      <c r="E15" s="10">
        <v>135</v>
      </c>
      <c r="F15" s="13" t="s">
        <v>93</v>
      </c>
      <c r="G15" s="13" t="s">
        <v>93</v>
      </c>
      <c r="H15" s="13" t="s">
        <v>23</v>
      </c>
      <c r="I15" s="13" t="b">
        <v>0</v>
      </c>
      <c r="J15" s="13" t="s">
        <v>25</v>
      </c>
      <c r="K15" s="1" t="s">
        <v>139</v>
      </c>
      <c r="L15" s="1" t="s">
        <v>140</v>
      </c>
      <c r="M15" s="1" t="s">
        <v>141</v>
      </c>
      <c r="N15" s="1" t="s">
        <v>121</v>
      </c>
    </row>
    <row r="16" spans="1:14" x14ac:dyDescent="0.35">
      <c r="A16" s="7" t="s">
        <v>26</v>
      </c>
      <c r="B16" s="28" t="s">
        <v>28</v>
      </c>
      <c r="C16" s="7" t="s">
        <v>30</v>
      </c>
      <c r="D16" s="7">
        <v>1</v>
      </c>
      <c r="E16" s="9">
        <v>297</v>
      </c>
      <c r="F16" s="13" t="s">
        <v>93</v>
      </c>
      <c r="G16" s="23" t="s">
        <v>93</v>
      </c>
      <c r="H16" s="23" t="s">
        <v>23</v>
      </c>
      <c r="I16" s="23" t="s">
        <v>93</v>
      </c>
      <c r="J16" s="23" t="s">
        <v>23</v>
      </c>
      <c r="K16" s="7" t="s">
        <v>104</v>
      </c>
      <c r="L16" s="7" t="s">
        <v>32</v>
      </c>
      <c r="M16" s="7" t="s">
        <v>32</v>
      </c>
      <c r="N16" s="7" t="s">
        <v>31</v>
      </c>
    </row>
    <row r="17" spans="1:14" x14ac:dyDescent="0.35">
      <c r="A17" s="1" t="s">
        <v>26</v>
      </c>
      <c r="B17" s="28" t="s">
        <v>142</v>
      </c>
      <c r="C17" s="1"/>
      <c r="D17" s="1">
        <v>1</v>
      </c>
      <c r="E17" s="10">
        <v>336</v>
      </c>
      <c r="F17" s="13" t="s">
        <v>93</v>
      </c>
      <c r="G17" s="13" t="s">
        <v>93</v>
      </c>
      <c r="H17" s="13" t="s">
        <v>23</v>
      </c>
      <c r="I17" s="13" t="b">
        <v>0</v>
      </c>
      <c r="J17" s="13" t="s">
        <v>25</v>
      </c>
      <c r="K17" s="1" t="s">
        <v>143</v>
      </c>
      <c r="L17" s="1" t="s">
        <v>144</v>
      </c>
      <c r="M17" s="1" t="s">
        <v>145</v>
      </c>
      <c r="N17" s="1" t="s">
        <v>16</v>
      </c>
    </row>
    <row r="18" spans="1:14" x14ac:dyDescent="0.35">
      <c r="A18" s="7" t="s">
        <v>26</v>
      </c>
      <c r="B18" s="28" t="s">
        <v>83</v>
      </c>
      <c r="C18" s="7" t="s">
        <v>59</v>
      </c>
      <c r="D18" s="7">
        <v>1</v>
      </c>
      <c r="E18" s="9">
        <v>583</v>
      </c>
      <c r="F18" s="13" t="s">
        <v>93</v>
      </c>
      <c r="G18" s="23" t="s">
        <v>93</v>
      </c>
      <c r="H18" s="23" t="s">
        <v>23</v>
      </c>
      <c r="I18" s="23" t="s">
        <v>93</v>
      </c>
      <c r="J18" s="23" t="s">
        <v>23</v>
      </c>
      <c r="K18" s="7" t="s">
        <v>146</v>
      </c>
      <c r="L18" s="7" t="s">
        <v>147</v>
      </c>
      <c r="M18" s="7" t="s">
        <v>84</v>
      </c>
      <c r="N18" s="8" t="s">
        <v>20</v>
      </c>
    </row>
    <row r="19" spans="1:14" x14ac:dyDescent="0.35">
      <c r="A19" s="1" t="s">
        <v>33</v>
      </c>
      <c r="B19" s="28" t="s">
        <v>34</v>
      </c>
      <c r="C19" s="1" t="s">
        <v>30</v>
      </c>
      <c r="D19" s="1">
        <v>10</v>
      </c>
      <c r="E19" s="10" t="s">
        <v>35</v>
      </c>
      <c r="F19" s="13" t="s">
        <v>93</v>
      </c>
      <c r="G19" s="13" t="b">
        <v>0</v>
      </c>
      <c r="H19" s="13" t="s">
        <v>25</v>
      </c>
      <c r="I19" s="13" t="s">
        <v>93</v>
      </c>
      <c r="J19" s="13" t="s">
        <v>23</v>
      </c>
      <c r="K19" s="1" t="s">
        <v>94</v>
      </c>
      <c r="L19" s="1" t="s">
        <v>97</v>
      </c>
      <c r="M19" s="1" t="s">
        <v>47</v>
      </c>
      <c r="N19" s="1" t="s">
        <v>16</v>
      </c>
    </row>
    <row r="20" spans="1:14" x14ac:dyDescent="0.35">
      <c r="A20" s="7" t="s">
        <v>33</v>
      </c>
      <c r="B20" s="28" t="s">
        <v>36</v>
      </c>
      <c r="C20" s="7" t="s">
        <v>27</v>
      </c>
      <c r="D20" s="7">
        <v>10</v>
      </c>
      <c r="E20" s="9" t="s">
        <v>38</v>
      </c>
      <c r="F20" s="13" t="s">
        <v>93</v>
      </c>
      <c r="G20" s="23" t="s">
        <v>93</v>
      </c>
      <c r="H20" s="23" t="s">
        <v>23</v>
      </c>
      <c r="I20" s="23" t="s">
        <v>93</v>
      </c>
      <c r="J20" s="23" t="s">
        <v>23</v>
      </c>
      <c r="K20" s="7" t="s">
        <v>105</v>
      </c>
      <c r="L20" s="7" t="s">
        <v>48</v>
      </c>
      <c r="M20" s="7" t="s">
        <v>48</v>
      </c>
      <c r="N20" s="8" t="s">
        <v>16</v>
      </c>
    </row>
    <row r="21" spans="1:14" x14ac:dyDescent="0.35">
      <c r="A21" s="1" t="s">
        <v>33</v>
      </c>
      <c r="B21" s="28" t="s">
        <v>39</v>
      </c>
      <c r="C21" s="1" t="s">
        <v>22</v>
      </c>
      <c r="D21" s="1">
        <v>10</v>
      </c>
      <c r="E21" s="10" t="s">
        <v>40</v>
      </c>
      <c r="F21" s="13" t="s">
        <v>93</v>
      </c>
      <c r="G21" s="13" t="s">
        <v>93</v>
      </c>
      <c r="H21" s="13" t="s">
        <v>23</v>
      </c>
      <c r="I21" s="13" t="s">
        <v>93</v>
      </c>
      <c r="J21" s="13" t="s">
        <v>23</v>
      </c>
      <c r="K21" s="1" t="s">
        <v>106</v>
      </c>
      <c r="L21" s="1" t="s">
        <v>107</v>
      </c>
      <c r="M21" s="1" t="s">
        <v>48</v>
      </c>
      <c r="N21" s="1" t="s">
        <v>16</v>
      </c>
    </row>
    <row r="22" spans="1:14" x14ac:dyDescent="0.35">
      <c r="A22" s="7" t="s">
        <v>33</v>
      </c>
      <c r="B22" s="28" t="s">
        <v>41</v>
      </c>
      <c r="C22" s="7" t="s">
        <v>37</v>
      </c>
      <c r="D22" s="7">
        <v>10</v>
      </c>
      <c r="E22" s="9" t="s">
        <v>43</v>
      </c>
      <c r="F22" s="13" t="s">
        <v>93</v>
      </c>
      <c r="G22" s="23" t="s">
        <v>93</v>
      </c>
      <c r="H22" s="23" t="s">
        <v>23</v>
      </c>
      <c r="I22" s="23" t="s">
        <v>93</v>
      </c>
      <c r="J22" s="23" t="s">
        <v>23</v>
      </c>
      <c r="K22" s="7" t="s">
        <v>108</v>
      </c>
      <c r="L22" s="7" t="s">
        <v>49</v>
      </c>
      <c r="M22" s="7" t="s">
        <v>49</v>
      </c>
      <c r="N22" s="7" t="s">
        <v>31</v>
      </c>
    </row>
    <row r="23" spans="1:14" x14ac:dyDescent="0.35">
      <c r="A23" s="1" t="s">
        <v>33</v>
      </c>
      <c r="B23" s="28" t="s">
        <v>44</v>
      </c>
      <c r="C23" s="1" t="s">
        <v>73</v>
      </c>
      <c r="D23" s="1">
        <v>10</v>
      </c>
      <c r="E23" s="10" t="s">
        <v>46</v>
      </c>
      <c r="F23" s="13" t="s">
        <v>93</v>
      </c>
      <c r="G23" s="13" t="s">
        <v>93</v>
      </c>
      <c r="H23" s="13" t="s">
        <v>23</v>
      </c>
      <c r="I23" s="13" t="s">
        <v>93</v>
      </c>
      <c r="J23" s="13" t="s">
        <v>23</v>
      </c>
      <c r="K23" s="1" t="s">
        <v>109</v>
      </c>
      <c r="L23" s="1" t="s">
        <v>50</v>
      </c>
      <c r="M23" s="1" t="s">
        <v>50</v>
      </c>
      <c r="N23" s="1" t="s">
        <v>31</v>
      </c>
    </row>
    <row r="24" spans="1:14" x14ac:dyDescent="0.35">
      <c r="A24" s="7" t="s">
        <v>33</v>
      </c>
      <c r="B24" s="28" t="s">
        <v>85</v>
      </c>
      <c r="C24" s="7" t="s">
        <v>27</v>
      </c>
      <c r="D24" s="7">
        <v>10</v>
      </c>
      <c r="E24" s="9" t="s">
        <v>86</v>
      </c>
      <c r="F24" s="13" t="s">
        <v>93</v>
      </c>
      <c r="G24" s="23" t="s">
        <v>93</v>
      </c>
      <c r="H24" s="23" t="s">
        <v>23</v>
      </c>
      <c r="I24" s="23" t="s">
        <v>93</v>
      </c>
      <c r="J24" s="23" t="s">
        <v>23</v>
      </c>
      <c r="K24" s="7" t="s">
        <v>148</v>
      </c>
      <c r="L24" s="7" t="s">
        <v>133</v>
      </c>
      <c r="M24" s="7" t="s">
        <v>82</v>
      </c>
      <c r="N24" s="7" t="s">
        <v>20</v>
      </c>
    </row>
    <row r="25" spans="1:14" x14ac:dyDescent="0.35">
      <c r="A25" s="1" t="s">
        <v>33</v>
      </c>
      <c r="B25" s="28" t="s">
        <v>149</v>
      </c>
      <c r="C25" s="1"/>
      <c r="D25" s="1">
        <v>11</v>
      </c>
      <c r="E25" s="10">
        <v>26</v>
      </c>
      <c r="F25" s="13" t="s">
        <v>93</v>
      </c>
      <c r="G25" s="13" t="s">
        <v>93</v>
      </c>
      <c r="H25" s="13" t="s">
        <v>23</v>
      </c>
      <c r="I25" s="13" t="b">
        <v>0</v>
      </c>
      <c r="J25" s="13" t="s">
        <v>25</v>
      </c>
      <c r="K25" s="1" t="s">
        <v>150</v>
      </c>
      <c r="L25" s="1" t="s">
        <v>151</v>
      </c>
      <c r="M25" s="1" t="s">
        <v>152</v>
      </c>
      <c r="N25" s="1" t="s">
        <v>31</v>
      </c>
    </row>
    <row r="26" spans="1:14" x14ac:dyDescent="0.35">
      <c r="A26" s="7" t="s">
        <v>33</v>
      </c>
      <c r="B26" s="28" t="s">
        <v>113</v>
      </c>
      <c r="C26" s="7" t="s">
        <v>59</v>
      </c>
      <c r="D26" s="7">
        <v>11</v>
      </c>
      <c r="E26" s="9" t="s">
        <v>193</v>
      </c>
      <c r="F26" s="13" t="s">
        <v>93</v>
      </c>
      <c r="G26" s="23" t="s">
        <v>93</v>
      </c>
      <c r="H26" s="23" t="s">
        <v>23</v>
      </c>
      <c r="I26" s="23" t="s">
        <v>93</v>
      </c>
      <c r="J26" s="23" t="s">
        <v>23</v>
      </c>
      <c r="K26" s="7" t="s">
        <v>48</v>
      </c>
      <c r="L26" s="7" t="s">
        <v>112</v>
      </c>
      <c r="M26" s="7" t="s">
        <v>48</v>
      </c>
      <c r="N26" s="8" t="s">
        <v>16</v>
      </c>
    </row>
    <row r="27" spans="1:14" x14ac:dyDescent="0.35">
      <c r="A27" s="1" t="s">
        <v>33</v>
      </c>
      <c r="B27" s="28" t="s">
        <v>194</v>
      </c>
      <c r="C27" s="1" t="s">
        <v>59</v>
      </c>
      <c r="D27" s="1">
        <v>11</v>
      </c>
      <c r="E27" s="10" t="s">
        <v>195</v>
      </c>
      <c r="F27" s="13" t="s">
        <v>93</v>
      </c>
      <c r="G27" s="13" t="s">
        <v>93</v>
      </c>
      <c r="H27" s="13" t="s">
        <v>23</v>
      </c>
      <c r="I27" s="13" t="s">
        <v>93</v>
      </c>
      <c r="J27" s="13" t="s">
        <v>23</v>
      </c>
      <c r="K27" s="1" t="s">
        <v>112</v>
      </c>
      <c r="L27" s="1" t="s">
        <v>105</v>
      </c>
      <c r="M27" s="1" t="s">
        <v>48</v>
      </c>
      <c r="N27" s="2" t="s">
        <v>16</v>
      </c>
    </row>
    <row r="28" spans="1:14" x14ac:dyDescent="0.35">
      <c r="A28" s="7" t="s">
        <v>33</v>
      </c>
      <c r="B28" s="28" t="s">
        <v>174</v>
      </c>
      <c r="C28" s="7" t="s">
        <v>30</v>
      </c>
      <c r="D28" s="7">
        <v>11</v>
      </c>
      <c r="E28" s="9" t="s">
        <v>175</v>
      </c>
      <c r="F28" s="13" t="s">
        <v>93</v>
      </c>
      <c r="G28" s="23" t="b">
        <v>0</v>
      </c>
      <c r="H28" s="23" t="s">
        <v>25</v>
      </c>
      <c r="I28" s="23" t="s">
        <v>93</v>
      </c>
      <c r="J28" s="23" t="s">
        <v>23</v>
      </c>
      <c r="K28" s="7" t="s">
        <v>176</v>
      </c>
      <c r="L28" s="7" t="s">
        <v>177</v>
      </c>
      <c r="M28" s="7" t="s">
        <v>67</v>
      </c>
      <c r="N28" s="7" t="s">
        <v>31</v>
      </c>
    </row>
    <row r="29" spans="1:14" x14ac:dyDescent="0.35">
      <c r="A29" s="1" t="s">
        <v>54</v>
      </c>
      <c r="B29" s="28" t="s">
        <v>55</v>
      </c>
      <c r="C29" s="1" t="s">
        <v>30</v>
      </c>
      <c r="D29" s="1">
        <v>40</v>
      </c>
      <c r="E29" s="10">
        <v>26</v>
      </c>
      <c r="F29" s="13" t="s">
        <v>93</v>
      </c>
      <c r="G29" s="13" t="b">
        <v>0</v>
      </c>
      <c r="H29" s="13" t="s">
        <v>25</v>
      </c>
      <c r="I29" s="13" t="s">
        <v>93</v>
      </c>
      <c r="J29" s="13" t="s">
        <v>23</v>
      </c>
      <c r="K29" s="1" t="s">
        <v>115</v>
      </c>
      <c r="L29" s="1" t="s">
        <v>116</v>
      </c>
      <c r="M29" s="1" t="s">
        <v>47</v>
      </c>
      <c r="N29" s="1" t="s">
        <v>16</v>
      </c>
    </row>
    <row r="30" spans="1:14" x14ac:dyDescent="0.35">
      <c r="A30" s="7" t="s">
        <v>54</v>
      </c>
      <c r="B30" s="28" t="s">
        <v>87</v>
      </c>
      <c r="C30" s="7" t="s">
        <v>42</v>
      </c>
      <c r="D30" s="7">
        <v>40</v>
      </c>
      <c r="E30" s="9">
        <v>39</v>
      </c>
      <c r="F30" s="13" t="s">
        <v>93</v>
      </c>
      <c r="G30" s="23" t="b">
        <v>0</v>
      </c>
      <c r="H30" s="23" t="s">
        <v>25</v>
      </c>
      <c r="I30" s="23" t="s">
        <v>93</v>
      </c>
      <c r="J30" s="23" t="s">
        <v>23</v>
      </c>
      <c r="K30" s="7" t="s">
        <v>89</v>
      </c>
      <c r="L30" s="7" t="s">
        <v>191</v>
      </c>
      <c r="M30" s="7" t="s">
        <v>89</v>
      </c>
      <c r="N30" s="8" t="s">
        <v>20</v>
      </c>
    </row>
    <row r="31" spans="1:14" x14ac:dyDescent="0.35">
      <c r="A31" s="1" t="s">
        <v>54</v>
      </c>
      <c r="B31" s="28" t="s">
        <v>154</v>
      </c>
      <c r="C31" s="1"/>
      <c r="D31" s="1">
        <v>40</v>
      </c>
      <c r="E31" s="10">
        <v>198</v>
      </c>
      <c r="F31" s="13" t="s">
        <v>93</v>
      </c>
      <c r="G31" s="13" t="s">
        <v>93</v>
      </c>
      <c r="H31" s="13" t="s">
        <v>23</v>
      </c>
      <c r="I31" s="13" t="b">
        <v>0</v>
      </c>
      <c r="J31" s="13" t="s">
        <v>25</v>
      </c>
      <c r="K31" s="25" t="s">
        <v>156</v>
      </c>
      <c r="L31" s="25" t="s">
        <v>157</v>
      </c>
      <c r="M31" s="25" t="s">
        <v>157</v>
      </c>
      <c r="N31" s="25" t="s">
        <v>121</v>
      </c>
    </row>
    <row r="32" spans="1:14" x14ac:dyDescent="0.35">
      <c r="A32" s="7" t="s">
        <v>54</v>
      </c>
      <c r="B32" s="28" t="s">
        <v>155</v>
      </c>
      <c r="C32" s="7"/>
      <c r="D32" s="7">
        <v>40</v>
      </c>
      <c r="E32" s="9">
        <v>201</v>
      </c>
      <c r="F32" s="13" t="s">
        <v>93</v>
      </c>
      <c r="G32" s="23" t="s">
        <v>93</v>
      </c>
      <c r="H32" s="23" t="s">
        <v>23</v>
      </c>
      <c r="I32" s="23" t="b">
        <v>0</v>
      </c>
      <c r="J32" s="23" t="s">
        <v>25</v>
      </c>
      <c r="K32" s="26" t="s">
        <v>158</v>
      </c>
      <c r="L32" s="26" t="s">
        <v>159</v>
      </c>
      <c r="M32" s="27" t="s">
        <v>160</v>
      </c>
      <c r="N32" s="17" t="s">
        <v>20</v>
      </c>
    </row>
    <row r="33" spans="1:14" x14ac:dyDescent="0.35">
      <c r="A33" s="1" t="s">
        <v>54</v>
      </c>
      <c r="B33" s="28" t="s">
        <v>161</v>
      </c>
      <c r="C33" s="1"/>
      <c r="D33" s="1">
        <v>40</v>
      </c>
      <c r="E33" s="10">
        <v>274</v>
      </c>
      <c r="F33" s="13" t="s">
        <v>93</v>
      </c>
      <c r="G33" s="13" t="s">
        <v>93</v>
      </c>
      <c r="H33" s="13" t="s">
        <v>23</v>
      </c>
      <c r="I33" s="13" t="b">
        <v>0</v>
      </c>
      <c r="J33" s="13" t="s">
        <v>25</v>
      </c>
      <c r="K33" s="25" t="s">
        <v>165</v>
      </c>
      <c r="L33" s="25" t="s">
        <v>166</v>
      </c>
      <c r="M33" s="25" t="s">
        <v>166</v>
      </c>
      <c r="N33" s="25" t="s">
        <v>121</v>
      </c>
    </row>
    <row r="34" spans="1:14" x14ac:dyDescent="0.35">
      <c r="A34" s="7" t="s">
        <v>54</v>
      </c>
      <c r="B34" s="28" t="s">
        <v>88</v>
      </c>
      <c r="C34" s="7" t="s">
        <v>29</v>
      </c>
      <c r="D34" s="7">
        <v>40</v>
      </c>
      <c r="E34" s="9">
        <v>343</v>
      </c>
      <c r="F34" s="13" t="s">
        <v>93</v>
      </c>
      <c r="G34" s="23" t="b">
        <v>0</v>
      </c>
      <c r="H34" s="23" t="s">
        <v>23</v>
      </c>
      <c r="I34" s="23" t="s">
        <v>93</v>
      </c>
      <c r="J34" s="23" t="s">
        <v>25</v>
      </c>
      <c r="K34" s="7" t="s">
        <v>90</v>
      </c>
      <c r="L34" s="7" t="s">
        <v>192</v>
      </c>
      <c r="M34" s="7" t="s">
        <v>90</v>
      </c>
      <c r="N34" s="8" t="s">
        <v>31</v>
      </c>
    </row>
    <row r="35" spans="1:14" x14ac:dyDescent="0.35">
      <c r="A35" s="1" t="s">
        <v>54</v>
      </c>
      <c r="B35" s="28" t="s">
        <v>74</v>
      </c>
      <c r="C35" s="1" t="s">
        <v>22</v>
      </c>
      <c r="D35" s="1">
        <v>40</v>
      </c>
      <c r="E35" s="10">
        <v>398</v>
      </c>
      <c r="F35" s="13" t="s">
        <v>93</v>
      </c>
      <c r="G35" s="13" t="b">
        <v>0</v>
      </c>
      <c r="H35" s="13" t="s">
        <v>25</v>
      </c>
      <c r="I35" s="13" t="s">
        <v>93</v>
      </c>
      <c r="J35" s="13" t="s">
        <v>23</v>
      </c>
      <c r="K35" s="1" t="s">
        <v>186</v>
      </c>
      <c r="L35" s="1" t="s">
        <v>187</v>
      </c>
      <c r="M35" s="1" t="s">
        <v>75</v>
      </c>
      <c r="N35" s="1" t="s">
        <v>31</v>
      </c>
    </row>
    <row r="36" spans="1:14" x14ac:dyDescent="0.35">
      <c r="A36" s="7" t="s">
        <v>54</v>
      </c>
      <c r="B36" s="28" t="s">
        <v>162</v>
      </c>
      <c r="C36" s="7"/>
      <c r="D36" s="7">
        <v>40</v>
      </c>
      <c r="E36" s="9">
        <v>450</v>
      </c>
      <c r="F36" s="13" t="s">
        <v>93</v>
      </c>
      <c r="G36" s="23" t="s">
        <v>93</v>
      </c>
      <c r="H36" s="23" t="s">
        <v>23</v>
      </c>
      <c r="I36" s="23" t="b">
        <v>0</v>
      </c>
      <c r="J36" s="23" t="s">
        <v>25</v>
      </c>
      <c r="K36" s="26" t="s">
        <v>167</v>
      </c>
      <c r="L36" s="26" t="s">
        <v>168</v>
      </c>
      <c r="M36" s="17" t="s">
        <v>167</v>
      </c>
      <c r="N36" s="17" t="s">
        <v>31</v>
      </c>
    </row>
    <row r="37" spans="1:14" x14ac:dyDescent="0.35">
      <c r="A37" s="1" t="s">
        <v>54</v>
      </c>
      <c r="B37" s="28" t="s">
        <v>196</v>
      </c>
      <c r="C37" s="1" t="s">
        <v>29</v>
      </c>
      <c r="D37" s="1">
        <v>41</v>
      </c>
      <c r="E37" s="10">
        <v>34</v>
      </c>
      <c r="F37" s="13" t="s">
        <v>93</v>
      </c>
      <c r="G37" s="13" t="b">
        <v>0</v>
      </c>
      <c r="H37" s="13" t="s">
        <v>25</v>
      </c>
      <c r="I37" s="13" t="s">
        <v>93</v>
      </c>
      <c r="J37" s="13" t="s">
        <v>23</v>
      </c>
      <c r="K37" s="1" t="s">
        <v>198</v>
      </c>
      <c r="L37" s="1" t="s">
        <v>199</v>
      </c>
      <c r="M37" s="1" t="s">
        <v>197</v>
      </c>
      <c r="N37" s="1" t="s">
        <v>31</v>
      </c>
    </row>
    <row r="38" spans="1:14" x14ac:dyDescent="0.35">
      <c r="A38" s="7" t="s">
        <v>54</v>
      </c>
      <c r="B38" s="28" t="s">
        <v>91</v>
      </c>
      <c r="C38" s="7" t="s">
        <v>37</v>
      </c>
      <c r="D38" s="7">
        <v>41</v>
      </c>
      <c r="E38" s="9">
        <v>229</v>
      </c>
      <c r="F38" s="13" t="s">
        <v>93</v>
      </c>
      <c r="G38" s="23" t="s">
        <v>93</v>
      </c>
      <c r="H38" s="23" t="s">
        <v>23</v>
      </c>
      <c r="I38" s="23" t="s">
        <v>93</v>
      </c>
      <c r="J38" s="23" t="s">
        <v>23</v>
      </c>
      <c r="K38" s="17" t="s">
        <v>118</v>
      </c>
      <c r="L38" s="17" t="s">
        <v>117</v>
      </c>
      <c r="M38" s="7" t="s">
        <v>92</v>
      </c>
      <c r="N38" s="7" t="s">
        <v>31</v>
      </c>
    </row>
    <row r="39" spans="1:14" x14ac:dyDescent="0.35">
      <c r="A39" s="1" t="s">
        <v>54</v>
      </c>
      <c r="B39" s="28" t="s">
        <v>164</v>
      </c>
      <c r="C39" s="1" t="s">
        <v>59</v>
      </c>
      <c r="D39" s="1">
        <v>41</v>
      </c>
      <c r="E39" s="10">
        <v>270</v>
      </c>
      <c r="F39" s="13" t="s">
        <v>93</v>
      </c>
      <c r="G39" s="13" t="s">
        <v>93</v>
      </c>
      <c r="H39" s="13" t="s">
        <v>23</v>
      </c>
      <c r="I39" s="13" t="s">
        <v>93</v>
      </c>
      <c r="J39" s="13" t="s">
        <v>23</v>
      </c>
      <c r="K39" s="1" t="s">
        <v>172</v>
      </c>
      <c r="L39" s="1" t="s">
        <v>173</v>
      </c>
      <c r="M39" s="1" t="s">
        <v>178</v>
      </c>
      <c r="N39" s="1" t="s">
        <v>31</v>
      </c>
    </row>
    <row r="42" spans="1:14" x14ac:dyDescent="0.35">
      <c r="A42" t="s">
        <v>208</v>
      </c>
      <c r="B42">
        <f>SUM(B43:B47)</f>
        <v>4020</v>
      </c>
      <c r="E42" s="6"/>
      <c r="F42" s="14"/>
    </row>
    <row r="43" spans="1:14" x14ac:dyDescent="0.35">
      <c r="A43" t="s">
        <v>209</v>
      </c>
      <c r="B43">
        <v>804</v>
      </c>
      <c r="E43" s="6"/>
      <c r="F43" s="14"/>
    </row>
    <row r="44" spans="1:14" x14ac:dyDescent="0.35">
      <c r="A44" t="s">
        <v>210</v>
      </c>
      <c r="B44">
        <v>804</v>
      </c>
      <c r="E44" s="6"/>
      <c r="F44" s="14" t="s">
        <v>220</v>
      </c>
      <c r="G44" t="s">
        <v>200</v>
      </c>
      <c r="H44" t="s">
        <v>222</v>
      </c>
    </row>
    <row r="45" spans="1:14" x14ac:dyDescent="0.35">
      <c r="A45" t="s">
        <v>211</v>
      </c>
      <c r="B45">
        <v>804</v>
      </c>
      <c r="E45" s="13" t="s">
        <v>93</v>
      </c>
      <c r="F45">
        <f>COUNTIF(Table5[ground truth data],E45)</f>
        <v>35</v>
      </c>
      <c r="G45">
        <f>COUNTIF(G2:G39, E45)</f>
        <v>25</v>
      </c>
      <c r="H45">
        <f>COUNTIF(I2:I39, E45)</f>
        <v>31</v>
      </c>
    </row>
    <row r="46" spans="1:14" x14ac:dyDescent="0.35">
      <c r="A46" t="s">
        <v>212</v>
      </c>
      <c r="B46">
        <v>804</v>
      </c>
      <c r="E46" s="13" t="b">
        <v>0</v>
      </c>
      <c r="F46">
        <f>COUNTIF(Table5[ground truth data],E46)</f>
        <v>3</v>
      </c>
      <c r="G46">
        <f>COUNTIF(G2:G39, E46)</f>
        <v>13</v>
      </c>
      <c r="H46">
        <f>COUNTIF(I2:I39, E46)</f>
        <v>7</v>
      </c>
    </row>
    <row r="47" spans="1:14" x14ac:dyDescent="0.35">
      <c r="A47" t="s">
        <v>213</v>
      </c>
      <c r="B47">
        <v>804</v>
      </c>
      <c r="E47" s="14" t="s">
        <v>23</v>
      </c>
      <c r="F47">
        <v>35</v>
      </c>
      <c r="G47">
        <f>COUNTIF(H2:H39, E47)</f>
        <v>26</v>
      </c>
      <c r="H47">
        <f>COUNTIF(J2:J39, E47)</f>
        <v>27</v>
      </c>
    </row>
    <row r="48" spans="1:14" x14ac:dyDescent="0.35">
      <c r="E48" s="14" t="s">
        <v>95</v>
      </c>
      <c r="F48">
        <v>3</v>
      </c>
      <c r="G48">
        <f>COUNTIF(H2:H39, E48)</f>
        <v>3</v>
      </c>
      <c r="H48">
        <f>COUNTIF(J2:J39, E48)</f>
        <v>0</v>
      </c>
    </row>
    <row r="49" spans="1:8" x14ac:dyDescent="0.35">
      <c r="E49" s="14" t="s">
        <v>96</v>
      </c>
      <c r="F49">
        <v>0</v>
      </c>
      <c r="G49">
        <f>COUNTIF(H2:H39, E49)</f>
        <v>0</v>
      </c>
      <c r="H49">
        <f>COUNTIF(J3:J39, E49)</f>
        <v>3</v>
      </c>
    </row>
    <row r="50" spans="1:8" x14ac:dyDescent="0.35">
      <c r="E50" s="13" t="s">
        <v>25</v>
      </c>
      <c r="F50">
        <v>0</v>
      </c>
      <c r="G50">
        <f>COUNTIF(H2:H39, E50)</f>
        <v>9</v>
      </c>
      <c r="H50">
        <f>COUNTIF(J2:J39, E50)</f>
        <v>8</v>
      </c>
    </row>
    <row r="51" spans="1:8" x14ac:dyDescent="0.35">
      <c r="E51" s="14"/>
    </row>
    <row r="52" spans="1:8" x14ac:dyDescent="0.35">
      <c r="E52" s="14" t="s">
        <v>202</v>
      </c>
      <c r="F52">
        <f>SUM(F45:F46)</f>
        <v>38</v>
      </c>
      <c r="G52">
        <f>SUM(G45, G46)</f>
        <v>38</v>
      </c>
      <c r="H52">
        <f>SUM(H45:H46)</f>
        <v>38</v>
      </c>
    </row>
    <row r="53" spans="1:8" x14ac:dyDescent="0.35">
      <c r="E53" s="14" t="s">
        <v>203</v>
      </c>
      <c r="F53">
        <f>SUM(F47:F50)</f>
        <v>38</v>
      </c>
      <c r="G53">
        <f>SUM(G47, G48, G49, G50)</f>
        <v>38</v>
      </c>
      <c r="H53">
        <f>SUM(H47:H50)</f>
        <v>38</v>
      </c>
    </row>
    <row r="54" spans="1:8" x14ac:dyDescent="0.35">
      <c r="E54" s="14"/>
    </row>
    <row r="55" spans="1:8" x14ac:dyDescent="0.35">
      <c r="A55" t="s">
        <v>221</v>
      </c>
      <c r="E55" s="14" t="s">
        <v>204</v>
      </c>
      <c r="G55" s="24">
        <f>G47/(G47+G50)</f>
        <v>0.74285714285714288</v>
      </c>
      <c r="H55" s="24">
        <f>H47/(H47+H50)</f>
        <v>0.77142857142857146</v>
      </c>
    </row>
    <row r="56" spans="1:8" x14ac:dyDescent="0.35">
      <c r="A56" t="s">
        <v>207</v>
      </c>
      <c r="E56" s="14" t="s">
        <v>205</v>
      </c>
      <c r="G56" s="24">
        <f>G47/(G47+G49)</f>
        <v>1</v>
      </c>
      <c r="H56" s="24">
        <f>H47/(H47+H49)</f>
        <v>0.9</v>
      </c>
    </row>
    <row r="57" spans="1:8" x14ac:dyDescent="0.35">
      <c r="E57" s="6"/>
    </row>
    <row r="58" spans="1:8" x14ac:dyDescent="0.35">
      <c r="A58" t="s">
        <v>214</v>
      </c>
      <c r="E58" s="14" t="s">
        <v>206</v>
      </c>
      <c r="G58" s="24">
        <f>G45/B42</f>
        <v>6.2189054726368162E-3</v>
      </c>
      <c r="H58" s="24">
        <f>H45/B42</f>
        <v>7.7114427860696519E-3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A671-165A-4311-8A14-2871CE9BCD5D}">
  <dimension ref="A1:K6"/>
  <sheetViews>
    <sheetView workbookViewId="0">
      <selection activeCell="K7" sqref="K7"/>
    </sheetView>
  </sheetViews>
  <sheetFormatPr defaultRowHeight="14.5" x14ac:dyDescent="0.35"/>
  <cols>
    <col min="2" max="2" width="9.26953125" style="31" customWidth="1"/>
    <col min="6" max="6" width="14.7265625" customWidth="1"/>
    <col min="7" max="8" width="8.90625" customWidth="1"/>
    <col min="9" max="9" width="12.1796875" customWidth="1"/>
    <col min="10" max="10" width="9.36328125" customWidth="1"/>
  </cols>
  <sheetData>
    <row r="1" spans="1:11" x14ac:dyDescent="0.35">
      <c r="A1" s="29" t="s">
        <v>0</v>
      </c>
      <c r="B1" s="29" t="s">
        <v>1</v>
      </c>
      <c r="C1" s="29" t="s">
        <v>2</v>
      </c>
      <c r="D1" s="29" t="s">
        <v>3</v>
      </c>
      <c r="E1" s="43" t="s">
        <v>4</v>
      </c>
      <c r="F1" s="37" t="s">
        <v>5</v>
      </c>
      <c r="G1" s="29" t="s">
        <v>98</v>
      </c>
      <c r="H1" s="29" t="s">
        <v>99</v>
      </c>
      <c r="I1" s="29" t="s">
        <v>9</v>
      </c>
      <c r="J1" s="29" t="s">
        <v>10</v>
      </c>
      <c r="K1" s="38" t="s">
        <v>11</v>
      </c>
    </row>
    <row r="2" spans="1:11" x14ac:dyDescent="0.35">
      <c r="A2" s="28" t="s">
        <v>12</v>
      </c>
      <c r="B2" s="28" t="s">
        <v>122</v>
      </c>
      <c r="C2" s="28"/>
      <c r="D2" s="28">
        <v>24</v>
      </c>
      <c r="E2" s="34">
        <v>367</v>
      </c>
      <c r="F2" s="32" t="s">
        <v>93</v>
      </c>
      <c r="G2" s="28" t="s">
        <v>123</v>
      </c>
      <c r="H2" s="28" t="s">
        <v>124</v>
      </c>
      <c r="I2" s="28" t="s">
        <v>125</v>
      </c>
      <c r="J2" s="28" t="s">
        <v>20</v>
      </c>
      <c r="K2" s="28" t="s">
        <v>223</v>
      </c>
    </row>
    <row r="3" spans="1:11" x14ac:dyDescent="0.35">
      <c r="A3" s="28" t="s">
        <v>12</v>
      </c>
      <c r="B3" s="28" t="s">
        <v>126</v>
      </c>
      <c r="C3" s="28"/>
      <c r="D3" s="28">
        <v>24</v>
      </c>
      <c r="E3" s="34">
        <v>397</v>
      </c>
      <c r="F3" s="32" t="s">
        <v>93</v>
      </c>
      <c r="G3" s="28" t="s">
        <v>127</v>
      </c>
      <c r="H3" s="28" t="s">
        <v>128</v>
      </c>
      <c r="I3" s="28" t="s">
        <v>125</v>
      </c>
      <c r="J3" s="28" t="s">
        <v>20</v>
      </c>
      <c r="K3" s="28" t="s">
        <v>224</v>
      </c>
    </row>
    <row r="4" spans="1:11" x14ac:dyDescent="0.35">
      <c r="A4" s="28" t="s">
        <v>12</v>
      </c>
      <c r="B4" s="28" t="s">
        <v>129</v>
      </c>
      <c r="C4" s="28"/>
      <c r="D4" s="28">
        <v>24</v>
      </c>
      <c r="E4" s="34">
        <v>399</v>
      </c>
      <c r="F4" s="32" t="b">
        <v>0</v>
      </c>
      <c r="G4" s="28" t="s">
        <v>130</v>
      </c>
      <c r="H4" s="28" t="s">
        <v>131</v>
      </c>
      <c r="I4" s="28" t="s">
        <v>125</v>
      </c>
      <c r="J4" s="28" t="s">
        <v>20</v>
      </c>
      <c r="K4" s="28" t="s">
        <v>223</v>
      </c>
    </row>
    <row r="5" spans="1:11" x14ac:dyDescent="0.35">
      <c r="A5" s="28" t="s">
        <v>51</v>
      </c>
      <c r="B5" s="28" t="s">
        <v>52</v>
      </c>
      <c r="C5" s="28" t="s">
        <v>29</v>
      </c>
      <c r="D5" s="28">
        <v>0</v>
      </c>
      <c r="E5" s="34">
        <v>660</v>
      </c>
      <c r="F5" s="32" t="s">
        <v>93</v>
      </c>
      <c r="G5" s="28" t="s">
        <v>114</v>
      </c>
      <c r="H5" s="28" t="s">
        <v>53</v>
      </c>
      <c r="I5" s="28" t="s">
        <v>53</v>
      </c>
      <c r="J5" s="28" t="s">
        <v>31</v>
      </c>
      <c r="K5" s="28" t="s">
        <v>225</v>
      </c>
    </row>
    <row r="6" spans="1:11" x14ac:dyDescent="0.35">
      <c r="A6" s="30" t="s">
        <v>54</v>
      </c>
      <c r="B6" s="30" t="s">
        <v>163</v>
      </c>
      <c r="C6" s="30"/>
      <c r="D6" s="30">
        <v>40</v>
      </c>
      <c r="E6" s="39">
        <v>553</v>
      </c>
      <c r="F6" s="40" t="s">
        <v>93</v>
      </c>
      <c r="G6" s="41" t="s">
        <v>169</v>
      </c>
      <c r="H6" s="41" t="s">
        <v>170</v>
      </c>
      <c r="I6" s="42" t="s">
        <v>171</v>
      </c>
      <c r="J6" s="42" t="s">
        <v>20</v>
      </c>
      <c r="K6" s="42" t="s">
        <v>226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4-token windows</vt:lpstr>
      <vt:lpstr>5-token windows</vt:lpstr>
      <vt:lpstr>6-token windows</vt:lpstr>
      <vt:lpstr>Il. sample</vt:lpstr>
      <vt:lpstr>Argon. sample</vt:lpstr>
      <vt:lpstr>PH sample</vt:lpstr>
      <vt:lpstr>Dion. sample</vt:lpstr>
      <vt:lpstr>ground truth data</vt:lpstr>
      <vt:lpstr>Manual rejected on 2nd 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Knijn</dc:creator>
  <cp:lastModifiedBy>Lotte Knijn</cp:lastModifiedBy>
  <dcterms:created xsi:type="dcterms:W3CDTF">2026-03-17T15:14:49Z</dcterms:created>
  <dcterms:modified xsi:type="dcterms:W3CDTF">2026-05-18T11:49:08Z</dcterms:modified>
</cp:coreProperties>
</file>